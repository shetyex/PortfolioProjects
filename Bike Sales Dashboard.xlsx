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1 User files\Data Analyst Projects\Alex Project\"/>
    </mc:Choice>
  </mc:AlternateContent>
  <bookViews>
    <workbookView xWindow="-105" yWindow="-105" windowWidth="23250" windowHeight="12450"/>
  </bookViews>
  <sheets>
    <sheet name="Dashboard" sheetId="4" r:id="rId1"/>
    <sheet name="bike_buyers" sheetId="1" r:id="rId2"/>
    <sheet name="Working Sheet" sheetId="2" r:id="rId3"/>
    <sheet name="Pivot Table" sheetId="3" r:id="rId4"/>
  </sheets>
  <definedNames>
    <definedName name="_xlnm._FilterDatabase" localSheetId="1" hidden="1">bike_buyers!$A$1:$M$1001</definedName>
    <definedName name="_xlnm._FilterDatabase" localSheetId="2" hidden="1">'Working Sheet'!$A$1:$N$1001</definedName>
    <definedName name="Slicer_Education">#N/A</definedName>
    <definedName name="Slicer_Marital_Status">#N/A</definedName>
    <definedName name="Slicer_Region">#N/A</definedName>
  </definedNames>
  <calcPr calcId="162913"/>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<sst xmlns="http://schemas.openxmlformats.org/spreadsheetml/2006/main" count="16267" uniqueCount="51">
  <si>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</si>
  <si>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</si>
  <si>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</si>
  <si>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</si>
  <si>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</si>
  <si>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</si>
  <si>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</si>
  <si>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</si>
  <si>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</si>
  <si>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</si>
  <si>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</si>
  <si>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</si>
  <si>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</si>
  <si>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</si>
  <si>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</si>
  <si>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</si>
  <si>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</si>
  <si>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</si>
  <si>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</si>
  <si>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</si>
  <si>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</si>
  <si>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</si>
  <si>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</si>
  <si>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</si>
  <si>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</si>
  <si>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</si>
  <si>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</si>
  <si>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</si>
  <si>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</si>
  <si>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</si>
  <si>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</si>
  <si>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</si>
  <si>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</si>
  <si>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</si>
  <si>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</si>
  <si>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</si>
  <si>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</si>
  <si>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</si>
  <si>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</si>
  <si>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</si>
  <si>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Group</t>
  </si>
  <si>
    <t>Column Labels</t>
  </si>
  <si>
    <t>Grand Total</t>
  </si>
  <si>
    <t>Row Labels</t>
  </si>
  <si>
    <t>Average of Income</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</si>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</sst>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quot;$&quot;#,##0.00"/>
    <numFmt numFmtId="165" formatCode="&quot;$&quot;#,##0"/>
    <numFmt numFmtId="166"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NumberFormat="1"/>
    <xf numFmtId="0" fontId="0" fillId="0" borderId="0" xfId="0" applyAlignment="1">
      <alignment horizontal="left"/>
    </xf>
    <xf numFmtId="166" fontId="0" fillId="0" borderId="0" xfId="0" applyNumberFormat="1"/>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3">
    <dxf>
      <numFmt numFmtId="2" formatCode="0.00"/>
    </dxf>
    <dxf>
      <numFmt numFmtId="167" formatCode="0.0"/>
    </dxf>
    <dxf>
      <numFmt numFmtId="1" formatCode="0"/>
    </dxf>
    <dxf>
      <numFmt numFmtId="35" formatCode="_(* #,##0.00_);_(* \(#,##0.00\);_(* &quot;-&quot;??_);_(@_)"/>
    </dxf>
    <dxf>
      <numFmt numFmtId="168" formatCode="_(* #,##0.0_);_(* \(#,##0.0\);_(* &quot;-&quot;??_);_(@_)"/>
    </dxf>
    <dxf>
      <numFmt numFmtId="166" formatCode="_(* #,##0_);_(* \(#,##0\);_(* &quot;-&quot;??_);_(@_)"/>
    </dxf>
    <dxf>
      <numFmt numFmtId="35" formatCode="_(* #,##0.00_);_(* \(#,##0.00\);_(* &quot;-&quot;??_);_(@_)"/>
    </dxf>
    <dxf>
      <numFmt numFmtId="168" formatCode="_(* #,##0.0_);_(* \(#,##0.0\);_(* &quot;-&quot;??_);_(@_)"/>
    </dxf>
    <dxf>
      <numFmt numFmtId="166" formatCode="_(* #,##0_);_(* \(#,##0\);_(* &quot;-&quot;??_);_(@_)"/>
    </dxf>
    <dxf>
      <numFmt numFmtId="2" formatCode="0.00"/>
    </dxf>
    <dxf>
      <numFmt numFmtId="167" formatCode="0.0"/>
    </dxf>
    <dxf>
      <numFmt numFmtId="1" formatCode="0"/>
    </dxf>
    <dxf>
      <numFmt numFmtId="35" formatCode="_(* #,##0.00_);_(* \(#,##0.00\);_(* &quot;-&quot;??_);_(@_)"/>
    </dxf>
    <dxf>
      <numFmt numFmtId="168" formatCode="_(* #,##0.0_);_(* \(#,##0.0\);_(* &quot;-&quot;??_);_(@_)"/>
    </dxf>
    <dxf>
      <numFmt numFmtId="166" formatCode="_(* #,##0_);_(* \(#,##0\);_(* &quot;-&quot;??_);_(@_)"/>
    </dxf>
    <dxf>
      <numFmt numFmtId="35" formatCode="_(* #,##0.00_);_(* \(#,##0.00\);_(* &quot;-&quot;??_);_(@_)"/>
    </dxf>
    <dxf>
      <numFmt numFmtId="168" formatCode="_(* #,##0.0_);_(* \(#,##0.0\);_(* &quot;-&quot;??_);_(@_)"/>
    </dxf>
    <dxf>
      <numFmt numFmtId="166" formatCode="_(* #,##0_);_(* \(#,##0\);_(* &quot;-&quot;??_);_(@_)"/>
    </dxf>
    <dxf>
      <numFmt numFmtId="2" formatCode="0.00"/>
    </dxf>
    <dxf>
      <numFmt numFmtId="167" formatCode="0.0"/>
    </dxf>
    <dxf>
      <numFmt numFmtId="1" formatCode="0"/>
    </dxf>
    <dxf>
      <numFmt numFmtId="35" formatCode="_(* #,##0.00_);_(* \(#,##0.00\);_(* &quot;-&quot;??_);_(@_)"/>
    </dxf>
    <dxf>
      <numFmt numFmtId="168" formatCode="_(* #,##0.0_);_(* \(#,##0.0\);_(* &quot;-&quot;??_);_(@_)"/>
    </dxf>
    <dxf>
      <numFmt numFmtId="166" formatCode="_(* #,##0_);_(* \(#,##0\);_(* &quot;-&quot;??_);_(@_)"/>
    </dxf>
    <dxf>
      <numFmt numFmtId="35" formatCode="_(* #,##0.00_);_(* \(#,##0.00\);_(* &quot;-&quot;??_);_(@_)"/>
    </dxf>
    <dxf>
      <numFmt numFmtId="168" formatCode="_(* #,##0.0_);_(* \(#,##0.0\);_(* &quot;-&quot;??_);_(@_)"/>
    </dxf>
    <dxf>
      <numFmt numFmtId="166" formatCode="_(* #,##0_);_(* \(#,##0\);_(* &quot;-&quot;??_);_(@_)"/>
    </dxf>
    <dxf>
      <numFmt numFmtId="2" formatCode="0.00"/>
    </dxf>
    <dxf>
      <numFmt numFmtId="167" formatCode="0.0"/>
    </dxf>
    <dxf>
      <numFmt numFmtId="1" formatCode="0"/>
    </dxf>
    <dxf>
      <numFmt numFmtId="35" formatCode="_(* #,##0.00_);_(* \(#,##0.00\);_(* &quot;-&quot;??_);_(@_)"/>
    </dxf>
    <dxf>
      <numFmt numFmtId="168" formatCode="_(* #,##0.0_);_(* \(#,##0.0\);_(* &quot;-&quot;??_);_(@_)"/>
    </dxf>
    <dxf>
      <numFmt numFmtId="166" formatCode="_(* #,##0_);_(* \(#,##0\);_(* &quot;-&quot;??_);_(@_)"/>
    </dxf>
    <dxf>
      <numFmt numFmtId="35" formatCode="_(* #,##0.00_);_(* \(#,##0.00\);_(* &quot;-&quot;??_);_(@_)"/>
    </dxf>
    <dxf>
      <numFmt numFmtId="168" formatCode="_(* #,##0.0_);_(* \(#,##0.0\);_(* &quot;-&quot;??_);_(@_)"/>
    </dxf>
    <dxf>
      <numFmt numFmtId="166" formatCode="_(* #,##0_);_(* \(#,##0\);_(* &quot;-&quot;??_);_(@_)"/>
    </dxf>
    <dxf>
      <numFmt numFmtId="2" formatCode="0.00"/>
    </dxf>
    <dxf>
      <numFmt numFmtId="167" formatCode="0.0"/>
    </dxf>
    <dxf>
      <numFmt numFmtId="1" formatCode="0"/>
    </dxf>
    <dxf>
      <numFmt numFmtId="35" formatCode="_(* #,##0.00_);_(* \(#,##0.00\);_(* &quot;-&quot;??_);_(@_)"/>
    </dxf>
    <dxf>
      <numFmt numFmtId="168" formatCode="_(* #,##0.0_);_(* \(#,##0.0\);_(* &quot;-&quot;??_);_(@_)"/>
    </dxf>
    <dxf>
      <numFmt numFmtId="166" formatCode="_(* #,##0_);_(* \(#,##0\);_(* &quot;-&quot;??_);_(@_)"/>
    </dxf>
    <dxf>
      <numFmt numFmtId="35" formatCode="_(* #,##0.00_);_(* \(#,##0.00\);_(* &quot;-&quot;??_);_(@_)"/>
    </dxf>
    <dxf>
      <numFmt numFmtId="168" formatCode="_(* #,##0.0_);_(* \(#,##0.0\);_(* &quot;-&quot;??_);_(@_)"/>
    </dxf>
    <dxf>
      <numFmt numFmtId="166" formatCode="_(* #,##0_);_(* \(#,##0\);_(* &quot;-&quot;??_);_(@_)"/>
    </dxf>
    <dxf>
      <numFmt numFmtId="2" formatCode="0.00"/>
    </dxf>
    <dxf>
      <numFmt numFmtId="167" formatCode="0.0"/>
    </dxf>
    <dxf>
      <numFmt numFmtId="1" formatCode="0"/>
    </dxf>
    <dxf>
      <numFmt numFmtId="35" formatCode="_(* #,##0.00_);_(* \(#,##0.00\);_(* &quot;-&quot;??_);_(@_)"/>
    </dxf>
    <dxf>
      <numFmt numFmtId="168" formatCode="_(* #,##0.0_);_(* \(#,##0.0\);_(* &quot;-&quot;??_);_(@_)"/>
    </dxf>
    <dxf>
      <numFmt numFmtId="166" formatCode="_(* #,##0_);_(* \(#,##0\);_(* &quot;-&quot;??_);_(@_)"/>
    </dxf>
    <dxf>
      <numFmt numFmtId="35" formatCode="_(* #,##0.00_);_(* \(#,##0.00\);_(* &quot;-&quot;??_);_(@_)"/>
    </dxf>
    <dxf>
      <numFmt numFmtId="168" formatCode="_(* #,##0.0_);_(* \(#,##0.0\);_(* &quot;-&quot;??_);_(@_)"/>
    </dxf>
    <dxf>
      <numFmt numFmtId="166" formatCode="_(* #,##0_);_(* \(#,##0\);_(* &quot;-&quot;??_);_(@_)"/>
    </dxf>
    <dxf>
      <numFmt numFmtId="2" formatCode="0.00"/>
    </dxf>
    <dxf>
      <numFmt numFmtId="167" formatCode="0.0"/>
    </dxf>
    <dxf>
      <numFmt numFmtId="1" formatCode="0"/>
    </dxf>
    <dxf>
      <numFmt numFmtId="35" formatCode="_(* #,##0.00_);_(* \(#,##0.00\);_(* &quot;-&quot;??_);_(@_)"/>
    </dxf>
    <dxf>
      <numFmt numFmtId="168" formatCode="_(* #,##0.0_);_(* \(#,##0.0\);_(* &quot;-&quot;??_);_(@_)"/>
    </dxf>
    <dxf>
      <numFmt numFmtId="166" formatCode="_(* #,##0_);_(* \(#,##0\);_(* &quot;-&quot;??_);_(@_)"/>
    </dxf>
    <dxf>
      <numFmt numFmtId="35" formatCode="_(* #,##0.00_);_(* \(#,##0.00\);_(* &quot;-&quot;??_);_(@_)"/>
    </dxf>
    <dxf>
      <numFmt numFmtId="168" formatCode="_(* #,##0.0_);_(* \(#,##0.0\);_(* &quot;-&quot;??_);_(@_)"/>
    </dxf>
    <dxf>
      <numFmt numFmtId="166" formatCode="_(* #,##0_);_(* \(#,##0\);_(* &quot;-&quot;??_);_(@_)"/>
    </dxf>
    <dxf>
      <numFmt numFmtId="2" formatCode="0.00"/>
    </dxf>
    <dxf>
      <numFmt numFmtId="167" formatCode="0.0"/>
    </dxf>
    <dxf>
      <numFmt numFmtId="1" formatCode="0"/>
    </dxf>
    <dxf>
      <numFmt numFmtId="35" formatCode="_(* #,##0.00_);_(* \(#,##0.00\);_(* &quot;-&quot;??_);_(@_)"/>
    </dxf>
    <dxf>
      <numFmt numFmtId="168" formatCode="_(* #,##0.0_);_(* \(#,##0.0\);_(* &quot;-&quot;??_);_(@_)"/>
    </dxf>
    <dxf>
      <numFmt numFmtId="166" formatCode="_(* #,##0_);_(* \(#,##0\);_(* &quot;-&quot;??_);_(@_)"/>
    </dxf>
    <dxf>
      <numFmt numFmtId="35" formatCode="_(* #,##0.00_);_(* \(#,##0.00\);_(* &quot;-&quot;??_);_(@_)"/>
    </dxf>
    <dxf>
      <numFmt numFmtId="168" formatCode="_(* #,##0.0_);_(* \(#,##0.0\);_(* &quot;-&quot;??_);_(@_)"/>
    </dxf>
    <dxf>
      <numFmt numFmtId="166" formatCode="_(* #,##0_);_(* \(#,##0\);_(* &quot;-&quot;??_);_(@_)"/>
    </dxf>
    <dxf>
      <numFmt numFmtId="2" formatCode="0.00"/>
    </dxf>
    <dxf>
      <numFmt numFmtId="167" formatCode="0.0"/>
    </dxf>
    <dxf>
      <numFmt numFmtId="1" formatCode="0"/>
    </dxf>
    <dxf>
      <numFmt numFmtId="35" formatCode="_(* #,##0.00_);_(* \(#,##0.00\);_(* &quot;-&quot;??_);_(@_)"/>
    </dxf>
    <dxf>
      <numFmt numFmtId="168" formatCode="_(* #,##0.0_);_(* \(#,##0.0\);_(* &quot;-&quot;??_);_(@_)"/>
    </dxf>
    <dxf>
      <numFmt numFmtId="166" formatCode="_(* #,##0_);_(* \(#,##0\);_(* &quot;-&quot;??_);_(@_)"/>
    </dxf>
    <dxf>
      <numFmt numFmtId="35" formatCode="_(* #,##0.00_);_(* \(#,##0.00\);_(* &quot;-&quot;??_);_(@_)"/>
    </dxf>
    <dxf>
      <numFmt numFmtId="168" formatCode="_(* #,##0.0_);_(* \(#,##0.0\);_(* &quot;-&quot;??_);_(@_)"/>
    </dxf>
    <dxf>
      <numFmt numFmtId="166" formatCode="_(* #,##0_);_(* \(#,##0\);_(* &quot;-&quot;??_);_(@_)"/>
    </dxf>
    <dxf>
      <numFmt numFmtId="2" formatCode="0.00"/>
    </dxf>
    <dxf>
      <numFmt numFmtId="167" formatCode="0.0"/>
    </dxf>
    <dxf>
      <numFmt numFmtId="1" formatCode="0"/>
    </dxf>
    <dxf>
      <numFmt numFmtId="35" formatCode="_(* #,##0.00_);_(* \(#,##0.00\);_(* &quot;-&quot;??_);_(@_)"/>
    </dxf>
    <dxf>
      <numFmt numFmtId="168" formatCode="_(* #,##0.0_);_(* \(#,##0.0\);_(* &quot;-&quot;??_);_(@_)"/>
    </dxf>
    <dxf>
      <numFmt numFmtId="166" formatCode="_(* #,##0_);_(* \(#,##0\);_(* &quot;-&quot;??_);_(@_)"/>
    </dxf>
    <dxf>
      <numFmt numFmtId="35" formatCode="_(* #,##0.00_);_(* \(#,##0.00\);_(* &quot;-&quot;??_);_(@_)"/>
    </dxf>
    <dxf>
      <numFmt numFmtId="168" formatCode="_(* #,##0.0_);_(* \(#,##0.0\);_(* &quot;-&quot;??_);_(@_)"/>
    </dxf>
    <dxf>
      <numFmt numFmtId="166" formatCode="_(* #,##0_);_(* \(#,##0\);_(* &quot;-&quot;??_);_(@_)"/>
    </dxf>
    <dxf>
      <numFmt numFmtId="2" formatCode="0.00"/>
    </dxf>
    <dxf>
      <numFmt numFmtId="167" formatCode="0.0"/>
    </dxf>
    <dxf>
      <numFmt numFmtId="1" formatCode="0"/>
    </dxf>
    <dxf>
      <numFmt numFmtId="35" formatCode="_(* #,##0.00_);_(* \(#,##0.00\);_(* &quot;-&quot;??_);_(@_)"/>
    </dxf>
    <dxf>
      <numFmt numFmtId="168" formatCode="_(* #,##0.0_);_(* \(#,##0.0\);_(* &quot;-&quot;??_);_(@_)"/>
    </dxf>
    <dxf>
      <numFmt numFmtId="166" formatCode="_(* #,##0_);_(* \(#,##0\);_(* &quot;-&quot;??_);_(@_)"/>
    </dxf>
    <dxf>
      <numFmt numFmtId="35" formatCode="_(* #,##0.00_);_(* \(#,##0.00\);_(* &quot;-&quot;??_);_(@_)"/>
    </dxf>
    <dxf>
      <numFmt numFmtId="168" formatCode="_(* #,##0.0_);_(* \(#,##0.0\);_(* &quot;-&quot;??_);_(@_)"/>
    </dxf>
    <dxf>
      <numFmt numFmtId="166" formatCode="_(* #,##0_);_(* \(#,##0\);_(* &quot;-&quot;??_);_(@_)"/>
    </dxf>
    <dxf>
      <numFmt numFmtId="2" formatCode="0.00"/>
    </dxf>
    <dxf>
      <numFmt numFmtId="167" formatCode="0.0"/>
    </dxf>
    <dxf>
      <numFmt numFmtId="1" formatCode="0"/>
    </dxf>
    <dxf>
      <numFmt numFmtId="35" formatCode="_(* #,##0.00_);_(* \(#,##0.00\);_(* &quot;-&quot;??_);_(@_)"/>
    </dxf>
    <dxf>
      <numFmt numFmtId="168" formatCode="_(* #,##0.0_);_(* \(#,##0.0\);_(* &quot;-&quot;??_);_(@_)"/>
    </dxf>
    <dxf>
      <numFmt numFmtId="166" formatCode="_(* #,##0_);_(* \(#,##0\);_(* &quot;-&quot;??_);_(@_)"/>
    </dxf>
    <dxf>
      <numFmt numFmtId="35" formatCode="_(* #,##0.00_);_(* \(#,##0.00\);_(* &quot;-&quot;??_);_(@_)"/>
    </dxf>
    <dxf>
      <numFmt numFmtId="168" formatCode="_(* #,##0.0_);_(* \(#,##0.0\);_(* &quot;-&quot;??_);_(@_)"/>
    </dxf>
    <dxf>
      <numFmt numFmtId="166" formatCode="_(* #,##0_);_(* \(#,##0\);_(* &quot;-&quot;??_);_(@_)"/>
    </dxf>
    <dxf>
      <numFmt numFmtId="2" formatCode="0.00"/>
    </dxf>
    <dxf>
      <numFmt numFmtId="167" formatCode="0.0"/>
    </dxf>
    <dxf>
      <numFmt numFmtId="1" formatCode="0"/>
    </dxf>
    <dxf>
      <numFmt numFmtId="35" formatCode="_(* #,##0.00_);_(* \(#,##0.00\);_(* &quot;-&quot;??_);_(@_)"/>
    </dxf>
    <dxf>
      <numFmt numFmtId="168" formatCode="_(* #,##0.0_);_(* \(#,##0.0\);_(* &quot;-&quot;??_);_(@_)"/>
    </dxf>
    <dxf>
      <numFmt numFmtId="166" formatCode="_(* #,##0_);_(* \(#,##0\);_(* &quot;-&quot;??_);_(@_)"/>
    </dxf>
    <dxf>
      <numFmt numFmtId="35" formatCode="_(* #,##0.00_);_(* \(#,##0.00\);_(* &quot;-&quot;??_);_(@_)"/>
    </dxf>
    <dxf>
      <numFmt numFmtId="168" formatCode="_(* #,##0.0_);_(* \(#,##0.0\);_(* &quot;-&quot;??_);_(@_)"/>
    </dxf>
    <dxf>
      <numFmt numFmtId="166" formatCode="_(* #,##0_);_(* \(#,##0\);_(* &quot;-&quot;??_);_(@_)"/>
    </dxf>
    <dxf>
      <numFmt numFmtId="2" formatCode="0.00"/>
    </dxf>
    <dxf>
      <numFmt numFmtId="167" formatCode="0.0"/>
    </dxf>
    <dxf>
      <numFmt numFmtId="1" formatCode="0"/>
    </dxf>
    <dxf>
      <numFmt numFmtId="35" formatCode="_(* #,##0.00_);_(* \(#,##0.00\);_(* &quot;-&quot;??_);_(@_)"/>
    </dxf>
    <dxf>
      <numFmt numFmtId="168" formatCode="_(* #,##0.0_);_(* \(#,##0.0\);_(* &quot;-&quot;??_);_(@_)"/>
    </dxf>
    <dxf>
      <numFmt numFmtId="166" formatCode="_(* #,##0_);_(* \(#,##0\);_(* &quot;-&quot;??_);_(@_)"/>
    </dxf>
    <dxf>
      <numFmt numFmtId="35" formatCode="_(* #,##0.00_);_(* \(#,##0.00\);_(* &quot;-&quot;??_);_(@_)"/>
    </dxf>
    <dxf>
      <numFmt numFmtId="168" formatCode="_(* #,##0.0_);_(* \(#,##0.0\);_(* &quot;-&quot;??_);_(@_)"/>
    </dxf>
    <dxf>
      <numFmt numFmtId="166" formatCode="_(* #,##0_);_(* \(#,##0\);_(* &quot;-&quot;??_);_(@_)"/>
    </dxf>
    <dxf>
      <numFmt numFmtId="2" formatCode="0.00"/>
    </dxf>
    <dxf>
      <numFmt numFmtId="167" formatCode="0.0"/>
    </dxf>
    <dxf>
      <numFmt numFmtId="1" formatCode="0"/>
    </dxf>
    <dxf>
      <numFmt numFmtId="35" formatCode="_(* #,##0.00_);_(* \(#,##0.00\);_(* &quot;-&quot;??_);_(@_)"/>
    </dxf>
    <dxf>
      <numFmt numFmtId="168" formatCode="_(* #,##0.0_);_(* \(#,##0.0\);_(* &quot;-&quot;??_);_(@_)"/>
    </dxf>
    <dxf>
      <numFmt numFmtId="166" formatCode="_(* #,##0_);_(* \(#,##0\);_(* &quot;-&quot;??_);_(@_)"/>
    </dxf>
    <dxf>
      <numFmt numFmtId="35" formatCode="_(* #,##0.00_);_(* \(#,##0.00\);_(* &quot;-&quot;??_);_(@_)"/>
    </dxf>
    <dxf>
      <numFmt numFmtId="168" formatCode="_(* #,##0.0_);_(* \(#,##0.0\);_(* &quot;-&quot;??_);_(@_)"/>
    </dxf>
    <dxf>
      <numFmt numFmtId="166" formatCode="_(* #,##0_);_(* \(#,##0\);_(* &quot;-&quot;??_);_(@_)"/>
    </dxf>
    <dxf>
      <numFmt numFmtId="2" formatCode="0.00"/>
    </dxf>
    <dxf>
      <numFmt numFmtId="167" formatCode="0.0"/>
    </dxf>
    <dxf>
      <numFmt numFmtId="1" formatCode="0"/>
    </dxf>
    <dxf>
      <numFmt numFmtId="35" formatCode="_(* #,##0.00_);_(* \(#,##0.00\);_(* &quot;-&quot;??_);_(@_)"/>
    </dxf>
    <dxf>
      <numFmt numFmtId="168" formatCode="_(* #,##0.0_);_(* \(#,##0.0\);_(* &quot;-&quot;??_);_(@_)"/>
    </dxf>
    <dxf>
      <numFmt numFmtId="166" formatCode="_(* #,##0_);_(* \(#,##0\);_(* &quot;-&quot;??_);_(@_)"/>
    </dxf>
    <dxf>
      <numFmt numFmtId="35" formatCode="_(* #,##0.00_);_(* \(#,##0.00\);_(* &quot;-&quot;??_);_(@_)"/>
    </dxf>
    <dxf>
      <numFmt numFmtId="168" formatCode="_(* #,##0.0_);_(* \(#,##0.0\);_(* &quot;-&quot;??_);_(@_)"/>
    </dxf>
    <dxf>
      <numFmt numFmtId="166" formatCode="_(* #,##0_);_(* \(#,##0\);_(* &quot;-&quot;??_);_(@_)"/>
    </dxf>
    <dxf>
      <numFmt numFmtId="166" formatCode="_(* #,##0_);_(* \(#,##0\);_(* &quot;-&quot;??_);_(@_)"/>
    </dxf>
    <dxf>
      <numFmt numFmtId="168" formatCode="_(* #,##0.0_);_(* \(#,##0.0\);_(* &quot;-&quot;??_);_(@_)"/>
    </dxf>
    <dxf>
      <numFmt numFmtId="35" formatCode="_(* #,##0.00_);_(* \(#,##0.00\);_(* &quot;-&quot;??_);_(@_)"/>
    </dxf>
    <dxf>
      <numFmt numFmtId="166" formatCode="_(* #,##0_);_(* \(#,##0\);_(* &quot;-&quot;??_);_(@_)"/>
    </dxf>
    <dxf>
      <numFmt numFmtId="168" formatCode="_(* #,##0.0_);_(* \(#,##0.0\);_(* &quot;-&quot;??_);_(@_)"/>
    </dxf>
    <dxf>
      <numFmt numFmtId="35" formatCode="_(* #,##0.00_);_(* \(#,##0.00\);_(* &quot;-&quot;??_);_(@_)"/>
    </dxf>
    <dxf>
      <numFmt numFmtId="1" formatCode="0"/>
    </dxf>
    <dxf>
      <numFmt numFmtId="167" formatCode="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Table!PivotTable1</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Average Income by Gender</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solidFill>
            <a:schemeClr val="accent1">
              <a:alpha val="85000"/>
            </a:schemeClr>
          </a:solidFill>
          <a:ln w="9525" cap="flat" cmpd="sng" algn="ctr">
            <a:solidFill>
              <a:schemeClr val="lt1">
                <a:alpha val="50000"/>
              </a:schemeClr>
            </a:solidFill>
            <a:round/>
          </a:ln>
          <a:effectLst/>
        </c:spPr>
        <c:marker>
          <c:spPr>
            <a:solidFill>
              <a:schemeClr val="accent1">
                <a:alpha val="85000"/>
              </a:schemeClr>
            </a:solidFill>
            <a:ln>
              <a:no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pPr>
            <a:solidFill>
              <a:schemeClr val="accent1">
                <a:alpha val="85000"/>
              </a:schemeClr>
            </a:solidFill>
            <a:ln>
              <a:no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pivotFmt>
      <c:pivotFmt>
        <c:idx val="9"/>
        <c:spPr>
          <a:solidFill>
            <a:schemeClr val="accent1">
              <a:alpha val="85000"/>
            </a:schemeClr>
          </a:solidFill>
          <a:ln w="9525" cap="flat" cmpd="sng" algn="ctr">
            <a:solidFill>
              <a:schemeClr val="lt1">
                <a:alpha val="50000"/>
              </a:schemeClr>
            </a:solidFill>
            <a:round/>
          </a:ln>
          <a:effectLst/>
        </c:spPr>
        <c:marker>
          <c:symbol val="none"/>
        </c:marker>
      </c:pivotFmt>
    </c:pivotFmts>
    <c:plotArea>
      <c:layout/>
      <c:barChart>
        <c:barDir val="col"/>
        <c:grouping val="clustered"/>
        <c:varyColors val="0"/>
        <c:ser>
          <c:idx val="0"/>
          <c:order val="0"/>
          <c:tx>
            <c:strRef>
              <c:f>'Pivot Table'!$B$3:$B$4</c:f>
              <c:strCache>
                <c:ptCount val="1"/>
                <c:pt idx="0">
                  <c:v>No</c:v>
                </c:pt>
              </c:strCache>
            </c:strRef>
          </c:tx>
          <c:spPr>
            <a:solidFill>
              <a:schemeClr val="accent1">
                <a:alpha val="85000"/>
              </a:schemeClr>
            </a:solidFill>
            <a:ln w="9525" cap="flat" cmpd="sng" algn="ctr">
              <a:solidFill>
                <a:schemeClr val="lt1">
                  <a:alpha val="50000"/>
                </a:schemeClr>
              </a:solidFill>
              <a:round/>
            </a:ln>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E474-447D-9852-A648898D089A}"/>
            </c:ext>
          </c:extLst>
        </c:ser>
        <c:ser>
          <c:idx val="1"/>
          <c:order val="1"/>
          <c:tx>
            <c:strRef>
              <c:f>'Pivot Table'!$C$3:$C$4</c:f>
              <c:strCache>
                <c:ptCount val="1"/>
                <c:pt idx="0">
                  <c:v>Yes</c:v>
                </c:pt>
              </c:strCache>
            </c:strRef>
          </c:tx>
          <c:spPr>
            <a:solidFill>
              <a:schemeClr val="accent2">
                <a:alpha val="85000"/>
              </a:schemeClr>
            </a:solidFill>
            <a:ln w="9525" cap="flat" cmpd="sng" algn="ctr">
              <a:solidFill>
                <a:schemeClr val="lt1">
                  <a:alpha val="50000"/>
                </a:schemeClr>
              </a:solidFill>
              <a:round/>
            </a:ln>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E474-447D-9852-A648898D089A}"/>
            </c:ext>
          </c:extLst>
        </c:ser>
        <c:dLbls>
          <c:showLegendKey val="0"/>
          <c:showVal val="0"/>
          <c:showCatName val="0"/>
          <c:showSerName val="0"/>
          <c:showPercent val="0"/>
          <c:showBubbleSize val="0"/>
        </c:dLbls>
        <c:gapWidth val="65"/>
        <c:axId val="1380358575"/>
        <c:axId val="1380361903"/>
      </c:barChart>
      <c:catAx>
        <c:axId val="138035857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Gender</a:t>
                </a:r>
              </a:p>
            </c:rich>
          </c:tx>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80361903"/>
        <c:crosses val="autoZero"/>
        <c:auto val="1"/>
        <c:lblAlgn val="ctr"/>
        <c:lblOffset val="100"/>
        <c:noMultiLvlLbl val="0"/>
      </c:catAx>
      <c:valAx>
        <c:axId val="138036190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Average Income</a:t>
                </a:r>
              </a:p>
            </c:rich>
          </c:tx>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_(* #,##0_);_(* \(#,##0\);_(* &quot;-&quot;??_);_(@_)" sourceLinked="1"/>
        <c:majorTickMark val="none"/>
        <c:minorTickMark val="none"/>
        <c:tickLblPos val="nextTo"/>
        <c:crossAx val="1380358575"/>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Table!PivotTable2</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Commute Distance of Customers</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pivotFmt>
      <c:pivotFmt>
        <c:idx val="7"/>
      </c:pivotFmt>
      <c:pivotFmt>
        <c:idx val="8"/>
      </c:pivotFmt>
      <c:pivotFmt>
        <c:idx val="9"/>
      </c:pivotFmt>
      <c:pivotFmt>
        <c:idx val="10"/>
        <c:spPr>
          <a:ln w="31750" cap="rnd">
            <a:solidFill>
              <a:schemeClr val="accent1"/>
            </a:solidFill>
            <a:round/>
          </a:ln>
          <a:effectLst/>
        </c:spPr>
        <c:marker>
          <c:symbol val="circle"/>
          <c:size val="17"/>
          <c:spPr>
            <a:solidFill>
              <a:schemeClr val="accent1"/>
            </a:solidFill>
            <a:ln>
              <a:noFill/>
            </a:ln>
            <a:effectLst/>
          </c:spPr>
        </c:marker>
      </c:pivotFmt>
      <c:pivotFmt>
        <c:idx val="11"/>
        <c:spPr>
          <a:ln w="31750" cap="rnd">
            <a:solidFill>
              <a:schemeClr val="accent1"/>
            </a:solidFill>
            <a:round/>
          </a:ln>
          <a:effectLst/>
        </c:spPr>
        <c:marker>
          <c:symbol val="circle"/>
          <c:size val="17"/>
          <c:spPr>
            <a:solidFill>
              <a:schemeClr val="accent2"/>
            </a:solidFill>
            <a:ln>
              <a:noFill/>
            </a:ln>
            <a:effectLst/>
          </c:spPr>
        </c:marker>
      </c:pivotFmt>
    </c:pivotFmts>
    <c:plotArea>
      <c:layout/>
      <c:lineChart>
        <c:grouping val="standard"/>
        <c:varyColors val="0"/>
        <c:ser>
          <c:idx val="0"/>
          <c:order val="0"/>
          <c:tx>
            <c:strRef>
              <c:f>'Pivot Table'!$B$21:$B$22</c:f>
              <c:strCache>
                <c:ptCount val="1"/>
                <c:pt idx="0">
                  <c:v>No</c:v>
                </c:pt>
              </c:strCache>
            </c:strRef>
          </c:tx>
          <c:spPr>
            <a:ln w="31750" cap="rnd">
              <a:solidFill>
                <a:schemeClr val="accent1"/>
              </a:solidFill>
              <a:round/>
            </a:ln>
            <a:effectLst/>
          </c:spPr>
          <c:marker>
            <c:symbol val="circle"/>
            <c:size val="17"/>
            <c:spPr>
              <a:solidFill>
                <a:schemeClr val="accent1"/>
              </a:solidFill>
              <a:ln>
                <a:noFill/>
              </a:ln>
              <a:effectLst/>
            </c:spPr>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7189-488F-99BB-899DF0D4BB15}"/>
            </c:ext>
          </c:extLst>
        </c:ser>
        <c:ser>
          <c:idx val="1"/>
          <c:order val="1"/>
          <c:tx>
            <c:strRef>
              <c:f>'Pivot Table'!$C$21:$C$22</c:f>
              <c:strCache>
                <c:ptCount val="1"/>
                <c:pt idx="0">
                  <c:v>Yes</c:v>
                </c:pt>
              </c:strCache>
            </c:strRef>
          </c:tx>
          <c:spPr>
            <a:ln w="31750" cap="rnd">
              <a:solidFill>
                <a:schemeClr val="accent2"/>
              </a:solidFill>
              <a:round/>
            </a:ln>
            <a:effectLst/>
          </c:spPr>
          <c:marker>
            <c:symbol val="circle"/>
            <c:size val="17"/>
            <c:spPr>
              <a:solidFill>
                <a:schemeClr val="accent2"/>
              </a:solidFill>
              <a:ln>
                <a:noFill/>
              </a:ln>
              <a:effectLst/>
            </c:spPr>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7189-488F-99BB-899DF0D4BB15}"/>
            </c:ext>
          </c:extLst>
        </c:ser>
        <c:dLbls>
          <c:showLegendKey val="0"/>
          <c:showVal val="0"/>
          <c:showCatName val="0"/>
          <c:showSerName val="0"/>
          <c:showPercent val="0"/>
          <c:showBubbleSize val="0"/>
        </c:dLbls>
        <c:marker val="1"/>
        <c:smooth val="0"/>
        <c:axId val="1411938463"/>
        <c:axId val="1411939711"/>
      </c:lineChart>
      <c:catAx>
        <c:axId val="141193846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Commute Distance</a:t>
                </a:r>
              </a:p>
            </c:rich>
          </c:tx>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11939711"/>
        <c:crosses val="autoZero"/>
        <c:auto val="1"/>
        <c:lblAlgn val="ctr"/>
        <c:lblOffset val="100"/>
        <c:noMultiLvlLbl val="0"/>
      </c:catAx>
      <c:valAx>
        <c:axId val="141193971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411938463"/>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Table!PivotTable3</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Age Group of Customers</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spPr>
          <a:ln w="31750" cap="rnd">
            <a:solidFill>
              <a:schemeClr val="accent1"/>
            </a:solidFill>
            <a:round/>
          </a:ln>
          <a:effectLst/>
        </c:spPr>
        <c:marker>
          <c:symbol val="circle"/>
          <c:size val="17"/>
          <c:spPr>
            <a:solidFill>
              <a:schemeClr val="accent1"/>
            </a:solidFill>
            <a:ln>
              <a:noFill/>
            </a:ln>
            <a:effectLst/>
          </c:spPr>
        </c:marker>
      </c:pivotFmt>
      <c:pivotFmt>
        <c:idx val="9"/>
        <c:spPr>
          <a:ln w="31750" cap="rnd">
            <a:solidFill>
              <a:schemeClr val="accent1"/>
            </a:solidFill>
            <a:round/>
          </a:ln>
          <a:effectLst/>
        </c:spPr>
        <c:marker>
          <c:symbol val="circle"/>
          <c:size val="17"/>
          <c:spPr>
            <a:solidFill>
              <a:schemeClr val="accent2"/>
            </a:solidFill>
            <a:ln>
              <a:noFill/>
            </a:ln>
            <a:effectLst/>
          </c:spPr>
        </c:marker>
      </c:pivotFmt>
    </c:pivotFmts>
    <c:plotArea>
      <c:layout/>
      <c:lineChart>
        <c:grouping val="standard"/>
        <c:varyColors val="0"/>
        <c:ser>
          <c:idx val="0"/>
          <c:order val="0"/>
          <c:tx>
            <c:strRef>
              <c:f>'Pivot Table'!$B$37:$B$38</c:f>
              <c:strCache>
                <c:ptCount val="1"/>
                <c:pt idx="0">
                  <c:v>No</c:v>
                </c:pt>
              </c:strCache>
            </c:strRef>
          </c:tx>
          <c:spPr>
            <a:ln w="31750" cap="rnd">
              <a:solidFill>
                <a:schemeClr val="accent1"/>
              </a:solidFill>
              <a:round/>
            </a:ln>
            <a:effectLst/>
          </c:spPr>
          <c:marker>
            <c:symbol val="circle"/>
            <c:size val="17"/>
            <c:spPr>
              <a:solidFill>
                <a:schemeClr val="accent1"/>
              </a:solidFill>
              <a:ln>
                <a:noFill/>
              </a:ln>
              <a:effectLst/>
            </c:spPr>
          </c:marker>
          <c:cat>
            <c:strRef>
              <c:f>'Pivot Table'!$A$39:$A$42</c:f>
              <c:strCache>
                <c:ptCount val="3"/>
                <c:pt idx="0">
                  <c:v>Adolescent</c:v>
                </c:pt>
                <c:pt idx="1">
                  <c:v>Middle Age</c:v>
                </c:pt>
                <c:pt idx="2">
                  <c:v>Old</c:v>
                </c:pt>
              </c:strCache>
            </c:strRef>
          </c:cat>
          <c:val>
            <c:numRef>
              <c:f>'Pivot Table'!$B$39:$B$42</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EFD9-49A6-87D0-D8AB779F5153}"/>
            </c:ext>
          </c:extLst>
        </c:ser>
        <c:ser>
          <c:idx val="1"/>
          <c:order val="1"/>
          <c:tx>
            <c:strRef>
              <c:f>'Pivot Table'!$C$37:$C$38</c:f>
              <c:strCache>
                <c:ptCount val="1"/>
                <c:pt idx="0">
                  <c:v>Yes</c:v>
                </c:pt>
              </c:strCache>
            </c:strRef>
          </c:tx>
          <c:spPr>
            <a:ln w="31750" cap="rnd">
              <a:solidFill>
                <a:schemeClr val="accent2"/>
              </a:solidFill>
              <a:round/>
            </a:ln>
            <a:effectLst/>
          </c:spPr>
          <c:marker>
            <c:symbol val="circle"/>
            <c:size val="17"/>
            <c:spPr>
              <a:solidFill>
                <a:schemeClr val="accent2"/>
              </a:solidFill>
              <a:ln>
                <a:noFill/>
              </a:ln>
              <a:effectLst/>
            </c:spPr>
          </c:marker>
          <c:cat>
            <c:strRef>
              <c:f>'Pivot Table'!$A$39:$A$42</c:f>
              <c:strCache>
                <c:ptCount val="3"/>
                <c:pt idx="0">
                  <c:v>Adolescent</c:v>
                </c:pt>
                <c:pt idx="1">
                  <c:v>Middle Age</c:v>
                </c:pt>
                <c:pt idx="2">
                  <c:v>Old</c:v>
                </c:pt>
              </c:strCache>
            </c:strRef>
          </c:cat>
          <c:val>
            <c:numRef>
              <c:f>'Pivot Table'!$C$39:$C$42</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EFD9-49A6-87D0-D8AB779F5153}"/>
            </c:ext>
          </c:extLst>
        </c:ser>
        <c:dLbls>
          <c:showLegendKey val="0"/>
          <c:showVal val="0"/>
          <c:showCatName val="0"/>
          <c:showSerName val="0"/>
          <c:showPercent val="0"/>
          <c:showBubbleSize val="0"/>
        </c:dLbls>
        <c:marker val="1"/>
        <c:smooth val="0"/>
        <c:axId val="1452914127"/>
        <c:axId val="1452913295"/>
      </c:lineChart>
      <c:catAx>
        <c:axId val="1452914127"/>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Age Group</a:t>
                </a:r>
              </a:p>
            </c:rich>
          </c:tx>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52913295"/>
        <c:crosses val="autoZero"/>
        <c:auto val="1"/>
        <c:lblAlgn val="ctr"/>
        <c:lblOffset val="100"/>
        <c:noMultiLvlLbl val="0"/>
      </c:catAx>
      <c:valAx>
        <c:axId val="145291329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452914127"/>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by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6B9A-4B5A-9881-B4ED1577C9B0}"/>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6B9A-4B5A-9881-B4ED1577C9B0}"/>
            </c:ext>
          </c:extLst>
        </c:ser>
        <c:dLbls>
          <c:showLegendKey val="0"/>
          <c:showVal val="0"/>
          <c:showCatName val="0"/>
          <c:showSerName val="0"/>
          <c:showPercent val="0"/>
          <c:showBubbleSize val="0"/>
        </c:dLbls>
        <c:gapWidth val="219"/>
        <c:overlap val="-27"/>
        <c:axId val="1380358575"/>
        <c:axId val="1380361903"/>
      </c:barChart>
      <c:catAx>
        <c:axId val="13803585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361903"/>
        <c:crosses val="autoZero"/>
        <c:auto val="1"/>
        <c:lblAlgn val="ctr"/>
        <c:lblOffset val="100"/>
        <c:noMultiLvlLbl val="0"/>
      </c:catAx>
      <c:valAx>
        <c:axId val="13803619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a:t>
                </a:r>
                <a:r>
                  <a:rPr lang="en-US" baseline="0"/>
                  <a:t> Income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35857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Commute Distance of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CDFE-4749-AD72-526AB7328066}"/>
            </c:ext>
          </c:extLst>
        </c:ser>
        <c:ser>
          <c:idx val="1"/>
          <c:order val="1"/>
          <c:tx>
            <c:strRef>
              <c:f>'Pivot Table'!$C$21:$C$22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CDFE-4749-AD72-526AB7328066}"/>
            </c:ext>
          </c:extLst>
        </c:ser>
        <c:dLbls>
          <c:showLegendKey val="0"/>
          <c:showVal val="0"/>
          <c:showCatName val="0"/>
          <c:showSerName val="0"/>
          <c:showPercent val="0"/>
          <c:showBubbleSize val="0"/>
        </c:dLbls>
        <c:marker val="1"/>
        <c:smooth val="0"/>
        <c:axId val="1411938463"/>
        <c:axId val="1411939711"/>
      </c:lineChart>
      <c:catAx>
        <c:axId val="14119384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1939711"/>
        <c:crosses val="autoZero"/>
        <c:auto val="1"/>
        <c:lblAlgn val="ctr"/>
        <c:lblOffset val="100"/>
        <c:noMultiLvlLbl val="0"/>
      </c:catAx>
      <c:valAx>
        <c:axId val="1411939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1938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a:t>
            </a:r>
            <a:r>
              <a:rPr lang="en-US" baseline="0"/>
              <a:t> Group of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Table'!$A$39:$A$42</c:f>
              <c:strCache>
                <c:ptCount val="3"/>
                <c:pt idx="0">
                  <c:v>Adolescent</c:v>
                </c:pt>
                <c:pt idx="1">
                  <c:v>Middle Age</c:v>
                </c:pt>
                <c:pt idx="2">
                  <c:v>Old</c:v>
                </c:pt>
              </c:strCache>
            </c:strRef>
          </c:cat>
          <c:val>
            <c:numRef>
              <c:f>'Pivot Table'!$B$39:$B$42</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B403-4007-AFFD-8C9FDD09C852}"/>
            </c:ext>
          </c:extLst>
        </c:ser>
        <c:ser>
          <c:idx val="1"/>
          <c:order val="1"/>
          <c:tx>
            <c:strRef>
              <c:f>'Pivot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Table'!$A$39:$A$42</c:f>
              <c:strCache>
                <c:ptCount val="3"/>
                <c:pt idx="0">
                  <c:v>Adolescent</c:v>
                </c:pt>
                <c:pt idx="1">
                  <c:v>Middle Age</c:v>
                </c:pt>
                <c:pt idx="2">
                  <c:v>Old</c:v>
                </c:pt>
              </c:strCache>
            </c:strRef>
          </c:cat>
          <c:val>
            <c:numRef>
              <c:f>'Pivot Table'!$C$39:$C$42</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B403-4007-AFFD-8C9FDD09C852}"/>
            </c:ext>
          </c:extLst>
        </c:ser>
        <c:dLbls>
          <c:showLegendKey val="0"/>
          <c:showVal val="0"/>
          <c:showCatName val="0"/>
          <c:showSerName val="0"/>
          <c:showPercent val="0"/>
          <c:showBubbleSize val="0"/>
        </c:dLbls>
        <c:marker val="1"/>
        <c:smooth val="0"/>
        <c:axId val="1452914127"/>
        <c:axId val="1452913295"/>
      </c:lineChart>
      <c:catAx>
        <c:axId val="14529141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Group</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913295"/>
        <c:crosses val="autoZero"/>
        <c:auto val="1"/>
        <c:lblAlgn val="ctr"/>
        <c:lblOffset val="100"/>
        <c:noMultiLvlLbl val="0"/>
      </c:catAx>
      <c:valAx>
        <c:axId val="1452913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914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136073</xdr:colOff>
      <xdr:row>5</xdr:row>
      <xdr:rowOff>92527</xdr:rowOff>
    </xdr:from>
    <xdr:to>
      <xdr:col>9</xdr:col>
      <xdr:colOff>462644</xdr:colOff>
      <xdr:row>19</xdr:row>
      <xdr:rowOff>136071</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134471</xdr:colOff>
      <xdr:row>20</xdr:row>
      <xdr:rowOff>47626</xdr:rowOff>
    </xdr:from>
    <xdr:to>
      <xdr:col>17</xdr:col>
      <xdr:colOff>1</xdr:colOff>
      <xdr:row>34</xdr:row>
      <xdr:rowOff>123826</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544287</xdr:colOff>
      <xdr:row>5</xdr:row>
      <xdr:rowOff>92529</xdr:rowOff>
    </xdr:from>
    <xdr:to>
      <xdr:col>17</xdr:col>
      <xdr:colOff>2</xdr:colOff>
      <xdr:row>19</xdr:row>
      <xdr:rowOff>134471</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68035</xdr:colOff>
      <xdr:row>5</xdr:row>
      <xdr:rowOff>95249</xdr:rowOff>
    </xdr:from>
    <xdr:to>
      <xdr:col>3</xdr:col>
      <xdr:colOff>54428</xdr:colOff>
      <xdr:row>10</xdr:row>
      <xdr:rowOff>95250</xdr:rowOff>
    </xdr:to>
    <mc:AlternateContent xmlns:mc="http://schemas.openxmlformats.org/markup-compatibility/2006" xmlns:a14="http://schemas.microsoft.com/office/drawing/2010/main">
      <mc:Choice Requires="a14">
        <xdr:graphicFrame macro="">
          <xdr:nvGraphicFramePr>
            <xdr:cNvPr id="8"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68035" y="1047749"/>
              <a:ext cx="1823357" cy="9525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68035</xdr:colOff>
      <xdr:row>10</xdr:row>
      <xdr:rowOff>176893</xdr:rowOff>
    </xdr:from>
    <xdr:to>
      <xdr:col>3</xdr:col>
      <xdr:colOff>53915</xdr:colOff>
      <xdr:row>17</xdr:row>
      <xdr:rowOff>34018</xdr:rowOff>
    </xdr:to>
    <mc:AlternateContent xmlns:mc="http://schemas.openxmlformats.org/markup-compatibility/2006">
      <mc:Choice xmlns:a14="http://schemas.microsoft.com/office/drawing/2010/main" Requires="a14">
        <xdr:graphicFrame macro="">
          <xdr:nvGraphicFramePr>
            <xdr:cNvPr id="9"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8035" y="2063921"/>
              <a:ext cx="1818993" cy="11780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63414</xdr:colOff>
      <xdr:row>17</xdr:row>
      <xdr:rowOff>82158</xdr:rowOff>
    </xdr:from>
    <xdr:to>
      <xdr:col>3</xdr:col>
      <xdr:colOff>49808</xdr:colOff>
      <xdr:row>26</xdr:row>
      <xdr:rowOff>134788</xdr:rowOff>
    </xdr:to>
    <mc:AlternateContent xmlns:mc="http://schemas.openxmlformats.org/markup-compatibility/2006">
      <mc:Choice xmlns:a14="http://schemas.microsoft.com/office/drawing/2010/main" Requires="a14">
        <xdr:graphicFrame macro="">
          <xdr:nvGraphicFramePr>
            <xdr:cNvPr id="10"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63414" y="3290106"/>
              <a:ext cx="1819507" cy="17509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595312</xdr:colOff>
      <xdr:row>2</xdr:row>
      <xdr:rowOff>142875</xdr:rowOff>
    </xdr:from>
    <xdr:to>
      <xdr:col>12</xdr:col>
      <xdr:colOff>290512</xdr:colOff>
      <xdr:row>17</xdr:row>
      <xdr:rowOff>28575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471487</xdr:colOff>
      <xdr:row>17</xdr:row>
      <xdr:rowOff>76200</xdr:rowOff>
    </xdr:from>
    <xdr:to>
      <xdr:col>13</xdr:col>
      <xdr:colOff>166687</xdr:colOff>
      <xdr:row>31</xdr:row>
      <xdr:rowOff>152400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195262</xdr:colOff>
      <xdr:row>34</xdr:row>
      <xdr:rowOff>152400</xdr:rowOff>
    </xdr:from>
    <xdr:to>
      <xdr:col>12</xdr:col>
      <xdr:colOff>500062</xdr:colOff>
      <xdr:row>49</xdr:row>
      <xdr:rowOff>38100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Marshall" refreshedDate="44731.596140393522" createdVersion="6" refreshedVersion="6" minRefreshableVersion="3" recordCount="100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Group"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0"/>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0"/>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0"/>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0"/>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0"/>
    <x v="1"/>
  </r>
  <r>
    <n v="12212"/>
    <x v="0"/>
    <x v="0"/>
    <n v="10000"/>
    <n v="0"/>
    <x v="4"/>
    <s v="Manual"/>
    <s v="Yes"/>
    <n v="0"/>
    <x v="0"/>
    <x v="0"/>
    <n v="37"/>
    <x v="0"/>
    <x v="1"/>
  </r>
  <r>
    <n v="25529"/>
    <x v="1"/>
    <x v="1"/>
    <n v="10000"/>
    <n v="1"/>
    <x v="4"/>
    <s v="Manual"/>
    <s v="Yes"/>
    <n v="0"/>
    <x v="0"/>
    <x v="0"/>
    <n v="44"/>
    <x v="0"/>
    <x v="0"/>
  </r>
  <r>
    <n v="22170"/>
    <x v="0"/>
    <x v="0"/>
    <n v="30000"/>
    <n v="3"/>
    <x v="1"/>
    <s v="Clerical"/>
    <s v="No"/>
    <n v="2"/>
    <x v="3"/>
    <x v="1"/>
    <n v="55"/>
    <x v="0"/>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0"/>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0"/>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0"/>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0"/>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0"/>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0"/>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0"/>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0"/>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0"/>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0"/>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0"/>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0"/>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7:D42"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2" series="1">
      <pivotArea type="data" outline="0" fieldPosition="0">
        <references count="2">
          <reference field="4294967294" count="1" selected="0">
            <x v="0"/>
          </reference>
          <reference field="13" count="1" selected="0">
            <x v="0"/>
          </reference>
        </references>
      </pivotArea>
    </chartFormat>
    <chartFormat chart="0" format="3" series="1">
      <pivotArea type="data" outline="0" fieldPosition="0">
        <references count="2">
          <reference field="4294967294" count="1" selected="0">
            <x v="0"/>
          </reference>
          <reference field="13" count="1" selected="0">
            <x v="1"/>
          </reference>
        </references>
      </pivotArea>
    </chartFormat>
    <chartFormat chart="2" format="8" series="1">
      <pivotArea type="data" outline="0" fieldPosition="0">
        <references count="2">
          <reference field="4294967294" count="1" selected="0">
            <x v="0"/>
          </reference>
          <reference field="13" count="1" selected="0">
            <x v="0"/>
          </reference>
        </references>
      </pivotArea>
    </chartFormat>
    <chartFormat chart="2"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21:D28"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countASubtotal="1">
      <items count="3">
        <item x="0"/>
        <item x="1"/>
        <item t="countA"/>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4" series="1">
      <pivotArea type="data" outline="0" fieldPosition="0">
        <references count="2">
          <reference field="4294967294" count="1" selected="0">
            <x v="0"/>
          </reference>
          <reference field="13" count="1" selected="0">
            <x v="0"/>
          </reference>
        </references>
      </pivotArea>
    </chartFormat>
    <chartFormat chart="0" format="5" series="1">
      <pivotArea type="data" outline="0" fieldPosition="0">
        <references count="2">
          <reference field="4294967294" count="1" selected="0">
            <x v="0"/>
          </reference>
          <reference field="13" count="1" selected="0">
            <x v="1"/>
          </reference>
        </references>
      </pivotArea>
    </chartFormat>
    <chartFormat chart="2" format="10" series="1">
      <pivotArea type="data" outline="0" fieldPosition="0">
        <references count="2">
          <reference field="4294967294" count="1" selected="0">
            <x v="0"/>
          </reference>
          <reference field="13" count="1" selected="0">
            <x v="0"/>
          </reference>
        </references>
      </pivotArea>
    </chartFormat>
    <chartFormat chart="2" format="1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9">
    <format dxfId="152">
      <pivotArea collapsedLevelsAreSubtotals="1" fieldPosition="0">
        <references count="1">
          <reference field="2" count="0"/>
        </references>
      </pivotArea>
    </format>
    <format dxfId="151">
      <pivotArea collapsedLevelsAreSubtotals="1" fieldPosition="0">
        <references count="1">
          <reference field="2" count="0"/>
        </references>
      </pivotArea>
    </format>
    <format dxfId="150">
      <pivotArea collapsedLevelsAreSubtotals="1" fieldPosition="0">
        <references count="1">
          <reference field="2" count="0"/>
        </references>
      </pivotArea>
    </format>
    <format dxfId="149">
      <pivotArea collapsedLevelsAreSubtotals="1" fieldPosition="0">
        <references count="1">
          <reference field="2" count="0"/>
        </references>
      </pivotArea>
    </format>
    <format dxfId="148">
      <pivotArea collapsedLevelsAreSubtotals="1" fieldPosition="0">
        <references count="1">
          <reference field="2" count="0"/>
        </references>
      </pivotArea>
    </format>
    <format dxfId="147">
      <pivotArea collapsedLevelsAreSubtotals="1" fieldPosition="0">
        <references count="1">
          <reference field="2" count="0"/>
        </references>
      </pivotArea>
    </format>
    <format dxfId="146">
      <pivotArea outline="0" collapsedLevelsAreSubtotals="1" fieldPosition="0"/>
    </format>
    <format dxfId="145">
      <pivotArea outline="0" collapsedLevelsAreSubtotals="1" fieldPosition="0"/>
    </format>
    <format dxfId="144">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8" series="1">
      <pivotArea type="data" outline="0" fieldPosition="0">
        <references count="2">
          <reference field="4294967294" count="1" selected="0">
            <x v="0"/>
          </reference>
          <reference field="13" count="1" selected="0">
            <x v="0"/>
          </reference>
        </references>
      </pivotArea>
    </chartFormat>
    <chartFormat chart="2"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3" name="PivotTable1"/>
    <pivotTable tabId="3" name="PivotTable2"/>
    <pivotTable tabId="3" name="PivotTable3"/>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1"/>
    <pivotTable tabId="3" name="PivotTable2"/>
    <pivotTable tabId="3" name="PivotTable3"/>
  </pivotTables>
  <data>
    <tabular pivotCacheId="1">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3" name="PivotTable1"/>
    <pivotTable tabId="3" name="PivotTable2"/>
    <pivotTable tabId="3" name="PivotTable3"/>
  </pivotTables>
  <data>
    <tabular pivotCacheId="1">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rowHeight="241300"/>
  <slicer name="Region" cache="Slicer_Region" caption="Region" rowHeight="241300"/>
  <slicer name="Education" cache="Slicer_Education" caption="Educat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1:Q5"/>
  <sheetViews>
    <sheetView showGridLines="0" tabSelected="1" topLeftCell="A13" zoomScale="106" zoomScaleNormal="106" workbookViewId="0">
      <selection activeCell="B34" sqref="B34"/>
    </sheetView>
  </sheetViews>
  <sheetFormatPr defaultRowHeight="15" x14ac:dyDescent="0.25"/>
  <sheetData>
    <row r="1" spans="1:17" x14ac:dyDescent="0.25">
      <c r="A1" s="8" t="s">
        <v>50</v>
      </c>
      <c r="B1" s="9"/>
      <c r="C1" s="9"/>
      <c r="D1" s="9"/>
      <c r="E1" s="9"/>
      <c r="F1" s="9"/>
      <c r="G1" s="9"/>
      <c r="H1" s="9"/>
      <c r="I1" s="9"/>
      <c r="J1" s="9"/>
      <c r="K1" s="9"/>
      <c r="L1" s="9"/>
      <c r="M1" s="9"/>
      <c r="N1" s="9"/>
      <c r="O1" s="9"/>
      <c r="P1" s="9"/>
      <c r="Q1" s="9"/>
    </row>
    <row r="2" spans="1:17" x14ac:dyDescent="0.25">
      <c r="A2" s="9"/>
      <c r="B2" s="9"/>
      <c r="C2" s="9"/>
      <c r="D2" s="9"/>
      <c r="E2" s="9"/>
      <c r="F2" s="9"/>
      <c r="G2" s="9"/>
      <c r="H2" s="9"/>
      <c r="I2" s="9"/>
      <c r="J2" s="9"/>
      <c r="K2" s="9"/>
      <c r="L2" s="9"/>
      <c r="M2" s="9"/>
      <c r="N2" s="9"/>
      <c r="O2" s="9"/>
      <c r="P2" s="9"/>
      <c r="Q2" s="9"/>
    </row>
    <row r="3" spans="1:17" x14ac:dyDescent="0.25">
      <c r="A3" s="9"/>
      <c r="B3" s="9"/>
      <c r="C3" s="9"/>
      <c r="D3" s="9"/>
      <c r="E3" s="9"/>
      <c r="F3" s="9"/>
      <c r="G3" s="9"/>
      <c r="H3" s="9"/>
      <c r="I3" s="9"/>
      <c r="J3" s="9"/>
      <c r="K3" s="9"/>
      <c r="L3" s="9"/>
      <c r="M3" s="9"/>
      <c r="N3" s="9"/>
      <c r="O3" s="9"/>
      <c r="P3" s="9"/>
      <c r="Q3" s="9"/>
    </row>
    <row r="4" spans="1:17" x14ac:dyDescent="0.25">
      <c r="A4" s="9"/>
      <c r="B4" s="9"/>
      <c r="C4" s="9"/>
      <c r="D4" s="9"/>
      <c r="E4" s="9"/>
      <c r="F4" s="9"/>
      <c r="G4" s="9"/>
      <c r="H4" s="9"/>
      <c r="I4" s="9"/>
      <c r="J4" s="9"/>
      <c r="K4" s="9"/>
      <c r="L4" s="9"/>
      <c r="M4" s="9"/>
      <c r="N4" s="9"/>
      <c r="O4" s="9"/>
      <c r="P4" s="9"/>
      <c r="Q4" s="9"/>
    </row>
    <row r="5" spans="1:17" x14ac:dyDescent="0.25">
      <c r="A5" s="9"/>
      <c r="B5" s="9"/>
      <c r="C5" s="9"/>
      <c r="D5" s="9"/>
      <c r="E5" s="9"/>
      <c r="F5" s="9"/>
      <c r="G5" s="9"/>
      <c r="H5" s="9"/>
      <c r="I5" s="9"/>
      <c r="J5" s="9"/>
      <c r="K5" s="9"/>
      <c r="L5" s="9"/>
      <c r="M5" s="9"/>
      <c r="N5" s="9"/>
      <c r="O5" s="9"/>
      <c r="P5" s="9"/>
      <c r="Q5" s="9"/>
    </row>
  </sheetData>
  <mergeCells count="1">
    <mergeCell ref="A1:Q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workbookViewId="0">
      <selection activeCell="M8" sqref="A1:M1027"/>
    </sheetView>
  </sheetViews>
  <sheetFormatPr defaultColWidth="11.85546875" defaultRowHeight="15" x14ac:dyDescent="0.25"/>
  <cols>
    <col min="1" max="1" width="6" bestFit="1" customWidth="1"/>
    <col min="2" max="2" width="13.28515625" bestFit="1" customWidth="1"/>
    <col min="3" max="3" width="7.5703125" bestFit="1" customWidth="1"/>
    <col min="4" max="4" width="11.140625" bestFit="1" customWidth="1"/>
    <col min="5" max="5" width="8.5703125" bestFit="1" customWidth="1"/>
    <col min="6" max="6" width="17.7109375" bestFit="1" customWidth="1"/>
    <col min="7" max="7" width="14.140625" bestFit="1" customWidth="1"/>
    <col min="8" max="8" width="12.7109375" bestFit="1" customWidth="1"/>
    <col min="9" max="9" width="4.7109375" bestFit="1" customWidth="1"/>
    <col min="10" max="10" width="18" bestFit="1" customWidth="1"/>
    <col min="11" max="11" width="14" bestFit="1" customWidth="1"/>
    <col min="12" max="12" width="4.42578125" bestFit="1" customWidth="1"/>
    <col min="13" max="13" width="14.5703125" bestFit="1"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workbookViewId="0">
      <selection activeCell="N2" sqref="N2"/>
    </sheetView>
  </sheetViews>
  <sheetFormatPr defaultRowHeight="15" x14ac:dyDescent="0.25"/>
  <cols>
    <col min="1" max="1" width="6" bestFit="1" customWidth="1"/>
    <col min="2" max="2" width="15.5703125" bestFit="1" customWidth="1"/>
    <col min="3" max="4" width="9.85546875" bestFit="1" customWidth="1"/>
    <col min="5" max="5" width="10.85546875" bestFit="1" customWidth="1"/>
    <col min="6" max="6" width="17.7109375" bestFit="1" customWidth="1"/>
    <col min="7" max="7" width="14.140625" bestFit="1" customWidth="1"/>
    <col min="8" max="8" width="15" bestFit="1" customWidth="1"/>
    <col min="9" max="9" width="7" bestFit="1" customWidth="1"/>
    <col min="10" max="10" width="20.28515625" bestFit="1" customWidth="1"/>
    <col min="11" max="11" width="14" bestFit="1" customWidth="1"/>
    <col min="12" max="12" width="6.7109375" bestFit="1" customWidth="1"/>
    <col min="13" max="13" width="12.5703125" bestFit="1" customWidth="1"/>
    <col min="14" max="14" width="16.85546875" bestFit="1" customWidth="1"/>
  </cols>
  <sheetData>
    <row r="1" spans="1:14" x14ac:dyDescent="0.25">
      <c r="A1" t="s">
        <v>0</v>
      </c>
      <c r="B1" t="s">
        <v>1</v>
      </c>
      <c r="C1" t="s">
        <v>2</v>
      </c>
      <c r="D1" t="s">
        <v>3</v>
      </c>
      <c r="E1" t="s">
        <v>4</v>
      </c>
      <c r="F1" t="s">
        <v>5</v>
      </c>
      <c r="G1" t="s">
        <v>6</v>
      </c>
      <c r="H1" t="s">
        <v>7</v>
      </c>
      <c r="I1" t="s">
        <v>8</v>
      </c>
      <c r="J1" t="s">
        <v>9</v>
      </c>
      <c r="K1" t="s">
        <v>10</v>
      </c>
      <c r="L1" t="s">
        <v>11</v>
      </c>
      <c r="M1" t="s">
        <v>40</v>
      </c>
      <c r="N1" t="s">
        <v>12</v>
      </c>
    </row>
    <row r="2" spans="1:14" x14ac:dyDescent="0.25">
      <c r="A2">
        <v>12496</v>
      </c>
      <c r="B2" t="s">
        <v>36</v>
      </c>
      <c r="C2" t="s">
        <v>39</v>
      </c>
      <c r="D2" s="3">
        <v>40000</v>
      </c>
      <c r="E2">
        <v>1</v>
      </c>
      <c r="F2" t="s">
        <v>13</v>
      </c>
      <c r="G2" t="s">
        <v>14</v>
      </c>
      <c r="H2" t="s">
        <v>15</v>
      </c>
      <c r="I2">
        <v>0</v>
      </c>
      <c r="J2" t="s">
        <v>16</v>
      </c>
      <c r="K2" t="s">
        <v>17</v>
      </c>
      <c r="L2">
        <v>42</v>
      </c>
      <c r="M2" t="str">
        <f t="shared" ref="M2:M65" si="0">IF(L2&gt;55, "Old", IF(L2&gt;=31,"Middle Age",IF(L2&lt;31, "Adolescent", "Invalid")))</f>
        <v>Middle Age</v>
      </c>
      <c r="N2" t="s">
        <v>18</v>
      </c>
    </row>
    <row r="3" spans="1:14" x14ac:dyDescent="0.25">
      <c r="A3">
        <v>24107</v>
      </c>
      <c r="B3" t="s">
        <v>36</v>
      </c>
      <c r="C3" t="s">
        <v>38</v>
      </c>
      <c r="D3" s="3">
        <v>30000</v>
      </c>
      <c r="E3">
        <v>3</v>
      </c>
      <c r="F3" t="s">
        <v>19</v>
      </c>
      <c r="G3" t="s">
        <v>20</v>
      </c>
      <c r="H3" t="s">
        <v>15</v>
      </c>
      <c r="I3">
        <v>1</v>
      </c>
      <c r="J3" t="s">
        <v>16</v>
      </c>
      <c r="K3" t="s">
        <v>17</v>
      </c>
      <c r="L3">
        <v>43</v>
      </c>
      <c r="M3" t="str">
        <f t="shared" si="0"/>
        <v>Middle Age</v>
      </c>
      <c r="N3" t="s">
        <v>18</v>
      </c>
    </row>
    <row r="4" spans="1:14" x14ac:dyDescent="0.25">
      <c r="A4">
        <v>14177</v>
      </c>
      <c r="B4" t="s">
        <v>36</v>
      </c>
      <c r="C4" t="s">
        <v>38</v>
      </c>
      <c r="D4" s="3">
        <v>80000</v>
      </c>
      <c r="E4">
        <v>5</v>
      </c>
      <c r="F4" t="s">
        <v>19</v>
      </c>
      <c r="G4" t="s">
        <v>21</v>
      </c>
      <c r="H4" t="s">
        <v>18</v>
      </c>
      <c r="I4">
        <v>2</v>
      </c>
      <c r="J4" t="s">
        <v>22</v>
      </c>
      <c r="K4" t="s">
        <v>17</v>
      </c>
      <c r="L4">
        <v>60</v>
      </c>
      <c r="M4" t="str">
        <f t="shared" si="0"/>
        <v>Old</v>
      </c>
      <c r="N4" t="s">
        <v>18</v>
      </c>
    </row>
    <row r="5" spans="1:14" x14ac:dyDescent="0.25">
      <c r="A5">
        <v>24381</v>
      </c>
      <c r="B5" t="s">
        <v>37</v>
      </c>
      <c r="C5" t="s">
        <v>38</v>
      </c>
      <c r="D5" s="3">
        <v>70000</v>
      </c>
      <c r="E5">
        <v>0</v>
      </c>
      <c r="F5" t="s">
        <v>13</v>
      </c>
      <c r="G5" t="s">
        <v>21</v>
      </c>
      <c r="H5" t="s">
        <v>15</v>
      </c>
      <c r="I5">
        <v>1</v>
      </c>
      <c r="J5" t="s">
        <v>23</v>
      </c>
      <c r="K5" t="s">
        <v>24</v>
      </c>
      <c r="L5">
        <v>41</v>
      </c>
      <c r="M5" t="str">
        <f t="shared" si="0"/>
        <v>Middle Age</v>
      </c>
      <c r="N5" t="s">
        <v>15</v>
      </c>
    </row>
    <row r="6" spans="1:14" x14ac:dyDescent="0.25">
      <c r="A6">
        <v>25597</v>
      </c>
      <c r="B6" t="s">
        <v>37</v>
      </c>
      <c r="C6" t="s">
        <v>38</v>
      </c>
      <c r="D6" s="3">
        <v>30000</v>
      </c>
      <c r="E6">
        <v>0</v>
      </c>
      <c r="F6" t="s">
        <v>13</v>
      </c>
      <c r="G6" t="s">
        <v>20</v>
      </c>
      <c r="H6" t="s">
        <v>18</v>
      </c>
      <c r="I6">
        <v>0</v>
      </c>
      <c r="J6" t="s">
        <v>16</v>
      </c>
      <c r="K6" t="s">
        <v>17</v>
      </c>
      <c r="L6">
        <v>36</v>
      </c>
      <c r="M6" t="str">
        <f t="shared" si="0"/>
        <v>Middle Age</v>
      </c>
      <c r="N6" t="s">
        <v>15</v>
      </c>
    </row>
    <row r="7" spans="1:14" x14ac:dyDescent="0.25">
      <c r="A7">
        <v>13507</v>
      </c>
      <c r="B7" t="s">
        <v>36</v>
      </c>
      <c r="C7" t="s">
        <v>39</v>
      </c>
      <c r="D7" s="3">
        <v>10000</v>
      </c>
      <c r="E7">
        <v>2</v>
      </c>
      <c r="F7" t="s">
        <v>19</v>
      </c>
      <c r="G7" t="s">
        <v>25</v>
      </c>
      <c r="H7" t="s">
        <v>15</v>
      </c>
      <c r="I7">
        <v>0</v>
      </c>
      <c r="J7" t="s">
        <v>26</v>
      </c>
      <c r="K7" t="s">
        <v>17</v>
      </c>
      <c r="L7">
        <v>50</v>
      </c>
      <c r="M7" t="str">
        <f t="shared" si="0"/>
        <v>Middle Age</v>
      </c>
      <c r="N7" t="s">
        <v>18</v>
      </c>
    </row>
    <row r="8" spans="1:14" x14ac:dyDescent="0.25">
      <c r="A8">
        <v>27974</v>
      </c>
      <c r="B8" t="s">
        <v>37</v>
      </c>
      <c r="C8" t="s">
        <v>38</v>
      </c>
      <c r="D8" s="3">
        <v>160000</v>
      </c>
      <c r="E8">
        <v>2</v>
      </c>
      <c r="F8" t="s">
        <v>27</v>
      </c>
      <c r="G8" t="s">
        <v>28</v>
      </c>
      <c r="H8" t="s">
        <v>15</v>
      </c>
      <c r="I8">
        <v>4</v>
      </c>
      <c r="J8" t="s">
        <v>16</v>
      </c>
      <c r="K8" t="s">
        <v>24</v>
      </c>
      <c r="L8">
        <v>33</v>
      </c>
      <c r="M8" t="str">
        <f t="shared" si="0"/>
        <v>Middle Age</v>
      </c>
      <c r="N8" t="s">
        <v>15</v>
      </c>
    </row>
    <row r="9" spans="1:14" x14ac:dyDescent="0.25">
      <c r="A9">
        <v>19364</v>
      </c>
      <c r="B9" t="s">
        <v>36</v>
      </c>
      <c r="C9" t="s">
        <v>38</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25">
      <c r="A14">
        <v>11434</v>
      </c>
      <c r="B14" t="s">
        <v>36</v>
      </c>
      <c r="C14" t="s">
        <v>38</v>
      </c>
      <c r="D14" s="3">
        <v>170000</v>
      </c>
      <c r="E14">
        <v>5</v>
      </c>
      <c r="F14" t="s">
        <v>19</v>
      </c>
      <c r="G14" t="s">
        <v>21</v>
      </c>
      <c r="H14" t="s">
        <v>15</v>
      </c>
      <c r="I14">
        <v>0</v>
      </c>
      <c r="J14" t="s">
        <v>16</v>
      </c>
      <c r="K14" t="s">
        <v>17</v>
      </c>
      <c r="L14">
        <v>55</v>
      </c>
      <c r="M14" t="str">
        <f t="shared" si="0"/>
        <v>Middle Age</v>
      </c>
      <c r="N14" t="s">
        <v>18</v>
      </c>
    </row>
    <row r="15" spans="1:14" x14ac:dyDescent="0.25">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38</v>
      </c>
      <c r="D21" s="3">
        <v>20000</v>
      </c>
      <c r="E21">
        <v>2</v>
      </c>
      <c r="F21" t="s">
        <v>29</v>
      </c>
      <c r="G21" t="s">
        <v>20</v>
      </c>
      <c r="H21" t="s">
        <v>15</v>
      </c>
      <c r="I21">
        <v>2</v>
      </c>
      <c r="J21" t="s">
        <v>23</v>
      </c>
      <c r="K21" t="s">
        <v>24</v>
      </c>
      <c r="L21">
        <v>55</v>
      </c>
      <c r="M21" t="str">
        <f t="shared" si="0"/>
        <v>Middle Age</v>
      </c>
      <c r="N21" t="s">
        <v>15</v>
      </c>
    </row>
    <row r="22" spans="1:14" x14ac:dyDescent="0.2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2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2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2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25">
      <c r="A66">
        <v>14927</v>
      </c>
      <c r="B66" t="s">
        <v>36</v>
      </c>
      <c r="C66" t="s">
        <v>39</v>
      </c>
      <c r="D66" s="3">
        <v>30000</v>
      </c>
      <c r="E66">
        <v>1</v>
      </c>
      <c r="F66" t="s">
        <v>13</v>
      </c>
      <c r="G66" t="s">
        <v>20</v>
      </c>
      <c r="H66" t="s">
        <v>15</v>
      </c>
      <c r="I66">
        <v>0</v>
      </c>
      <c r="J66" t="s">
        <v>16</v>
      </c>
      <c r="K66" t="s">
        <v>17</v>
      </c>
      <c r="L66">
        <v>37</v>
      </c>
      <c r="M66" t="str">
        <f t="shared" ref="M66:M129" si="1">IF(L66&gt;55, "Old", IF(L66&gt;=31,"Middle Age",IF(L66&lt;31, "Adolescent", "Invalid")))</f>
        <v>Middle Age</v>
      </c>
      <c r="N66" t="s">
        <v>15</v>
      </c>
    </row>
    <row r="67" spans="1:14" x14ac:dyDescent="0.25">
      <c r="A67">
        <v>29337</v>
      </c>
      <c r="B67" t="s">
        <v>37</v>
      </c>
      <c r="C67" t="s">
        <v>38</v>
      </c>
      <c r="D67" s="3">
        <v>30000</v>
      </c>
      <c r="E67">
        <v>2</v>
      </c>
      <c r="F67" t="s">
        <v>19</v>
      </c>
      <c r="G67" t="s">
        <v>20</v>
      </c>
      <c r="H67" t="s">
        <v>15</v>
      </c>
      <c r="I67">
        <v>2</v>
      </c>
      <c r="J67" t="s">
        <v>23</v>
      </c>
      <c r="K67" t="s">
        <v>24</v>
      </c>
      <c r="L67">
        <v>68</v>
      </c>
      <c r="M67" t="str">
        <f t="shared" si="1"/>
        <v>Old</v>
      </c>
      <c r="N67" t="s">
        <v>18</v>
      </c>
    </row>
    <row r="68" spans="1:14" x14ac:dyDescent="0.2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2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2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39</v>
      </c>
      <c r="D96" s="3">
        <v>30000</v>
      </c>
      <c r="E96">
        <v>3</v>
      </c>
      <c r="F96" t="s">
        <v>27</v>
      </c>
      <c r="G96" t="s">
        <v>14</v>
      </c>
      <c r="H96" t="s">
        <v>15</v>
      </c>
      <c r="I96">
        <v>2</v>
      </c>
      <c r="J96" t="s">
        <v>23</v>
      </c>
      <c r="K96" t="s">
        <v>24</v>
      </c>
      <c r="L96">
        <v>55</v>
      </c>
      <c r="M96" t="str">
        <f t="shared" si="1"/>
        <v>Middle Age</v>
      </c>
      <c r="N96" t="s">
        <v>18</v>
      </c>
    </row>
    <row r="97" spans="1:14" x14ac:dyDescent="0.25">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2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2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38</v>
      </c>
      <c r="D130" s="3">
        <v>10000</v>
      </c>
      <c r="E130">
        <v>2</v>
      </c>
      <c r="F130" t="s">
        <v>19</v>
      </c>
      <c r="G130" t="s">
        <v>25</v>
      </c>
      <c r="H130" t="s">
        <v>15</v>
      </c>
      <c r="I130">
        <v>1</v>
      </c>
      <c r="J130" t="s">
        <v>16</v>
      </c>
      <c r="K130" t="s">
        <v>17</v>
      </c>
      <c r="L130">
        <v>52</v>
      </c>
      <c r="M130" t="str">
        <f t="shared" ref="M130:M193" si="2">IF(L130&gt;55, "Old", IF(L130&gt;=31,"Middle Age",IF(L130&lt;31, "Adolescent", "Invalid")))</f>
        <v>Middle Age</v>
      </c>
      <c r="N130" t="s">
        <v>15</v>
      </c>
    </row>
    <row r="131" spans="1:14" x14ac:dyDescent="0.25">
      <c r="A131">
        <v>26818</v>
      </c>
      <c r="B131" t="s">
        <v>37</v>
      </c>
      <c r="C131" t="s">
        <v>38</v>
      </c>
      <c r="D131" s="3">
        <v>10000</v>
      </c>
      <c r="E131">
        <v>3</v>
      </c>
      <c r="F131" t="s">
        <v>27</v>
      </c>
      <c r="G131" t="s">
        <v>25</v>
      </c>
      <c r="H131" t="s">
        <v>15</v>
      </c>
      <c r="I131">
        <v>1</v>
      </c>
      <c r="J131" t="s">
        <v>16</v>
      </c>
      <c r="K131" t="s">
        <v>17</v>
      </c>
      <c r="L131">
        <v>39</v>
      </c>
      <c r="M131" t="str">
        <f t="shared" si="2"/>
        <v>Middle Age</v>
      </c>
      <c r="N131" t="s">
        <v>15</v>
      </c>
    </row>
    <row r="132" spans="1:14" x14ac:dyDescent="0.2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39</v>
      </c>
      <c r="D140" s="3">
        <v>20000</v>
      </c>
      <c r="E140">
        <v>2</v>
      </c>
      <c r="F140" t="s">
        <v>29</v>
      </c>
      <c r="G140" t="s">
        <v>20</v>
      </c>
      <c r="H140" t="s">
        <v>15</v>
      </c>
      <c r="I140">
        <v>2</v>
      </c>
      <c r="J140" t="s">
        <v>23</v>
      </c>
      <c r="K140" t="s">
        <v>24</v>
      </c>
      <c r="L140">
        <v>55</v>
      </c>
      <c r="M140" t="str">
        <f t="shared" si="2"/>
        <v>Middle Age</v>
      </c>
      <c r="N140" t="s">
        <v>15</v>
      </c>
    </row>
    <row r="141" spans="1:14" x14ac:dyDescent="0.2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2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2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38</v>
      </c>
      <c r="D180" s="3">
        <v>160000</v>
      </c>
      <c r="E180">
        <v>4</v>
      </c>
      <c r="F180" t="s">
        <v>19</v>
      </c>
      <c r="G180" t="s">
        <v>21</v>
      </c>
      <c r="H180" t="s">
        <v>18</v>
      </c>
      <c r="I180">
        <v>2</v>
      </c>
      <c r="J180" t="s">
        <v>46</v>
      </c>
      <c r="K180" t="s">
        <v>17</v>
      </c>
      <c r="L180">
        <v>55</v>
      </c>
      <c r="M180" t="str">
        <f t="shared" si="2"/>
        <v>Middle Age</v>
      </c>
      <c r="N180" t="s">
        <v>15</v>
      </c>
    </row>
    <row r="181" spans="1:14" x14ac:dyDescent="0.2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39</v>
      </c>
      <c r="D183" s="3">
        <v>30000</v>
      </c>
      <c r="E183">
        <v>3</v>
      </c>
      <c r="F183" t="s">
        <v>19</v>
      </c>
      <c r="G183" t="s">
        <v>20</v>
      </c>
      <c r="H183" t="s">
        <v>18</v>
      </c>
      <c r="I183">
        <v>2</v>
      </c>
      <c r="J183" t="s">
        <v>26</v>
      </c>
      <c r="K183" t="s">
        <v>24</v>
      </c>
      <c r="L183">
        <v>55</v>
      </c>
      <c r="M183" t="str">
        <f t="shared" si="2"/>
        <v>Middle Age</v>
      </c>
      <c r="N183" t="s">
        <v>15</v>
      </c>
    </row>
    <row r="184" spans="1:14" x14ac:dyDescent="0.2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2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25">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2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38</v>
      </c>
      <c r="D192" s="3">
        <v>30000</v>
      </c>
      <c r="E192">
        <v>3</v>
      </c>
      <c r="F192" t="s">
        <v>27</v>
      </c>
      <c r="G192" t="s">
        <v>14</v>
      </c>
      <c r="H192" t="s">
        <v>15</v>
      </c>
      <c r="I192">
        <v>2</v>
      </c>
      <c r="J192" t="s">
        <v>23</v>
      </c>
      <c r="K192" t="s">
        <v>24</v>
      </c>
      <c r="L192">
        <v>55</v>
      </c>
      <c r="M192" t="str">
        <f t="shared" si="2"/>
        <v>Middle Age</v>
      </c>
      <c r="N192" t="s">
        <v>18</v>
      </c>
    </row>
    <row r="193" spans="1:14" x14ac:dyDescent="0.2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39</v>
      </c>
      <c r="D194" s="3">
        <v>80000</v>
      </c>
      <c r="E194">
        <v>5</v>
      </c>
      <c r="F194" t="s">
        <v>13</v>
      </c>
      <c r="G194" t="s">
        <v>28</v>
      </c>
      <c r="H194" t="s">
        <v>15</v>
      </c>
      <c r="I194">
        <v>2</v>
      </c>
      <c r="J194" t="s">
        <v>46</v>
      </c>
      <c r="K194" t="s">
        <v>17</v>
      </c>
      <c r="L194">
        <v>62</v>
      </c>
      <c r="M194" t="str">
        <f t="shared" ref="M194:M257" si="3">IF(L194&gt;55, "Old", IF(L194&gt;=31,"Middle Age",IF(L194&lt;31, "Adolescent", "Invalid")))</f>
        <v>Old</v>
      </c>
      <c r="N194" t="s">
        <v>18</v>
      </c>
    </row>
    <row r="195" spans="1:14" x14ac:dyDescent="0.25">
      <c r="A195">
        <v>26032</v>
      </c>
      <c r="B195" t="s">
        <v>36</v>
      </c>
      <c r="C195" t="s">
        <v>39</v>
      </c>
      <c r="D195" s="3">
        <v>70000</v>
      </c>
      <c r="E195">
        <v>5</v>
      </c>
      <c r="F195" t="s">
        <v>13</v>
      </c>
      <c r="G195" t="s">
        <v>21</v>
      </c>
      <c r="H195" t="s">
        <v>15</v>
      </c>
      <c r="I195">
        <v>4</v>
      </c>
      <c r="J195" t="s">
        <v>46</v>
      </c>
      <c r="K195" t="s">
        <v>24</v>
      </c>
      <c r="L195">
        <v>41</v>
      </c>
      <c r="M195" t="str">
        <f t="shared" si="3"/>
        <v>Middle Age</v>
      </c>
      <c r="N195" t="s">
        <v>18</v>
      </c>
    </row>
    <row r="196" spans="1:14" x14ac:dyDescent="0.2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25">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2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2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2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25">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2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2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2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2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38</v>
      </c>
      <c r="D253" s="3">
        <v>130000</v>
      </c>
      <c r="E253">
        <v>4</v>
      </c>
      <c r="F253" t="s">
        <v>27</v>
      </c>
      <c r="G253" t="s">
        <v>21</v>
      </c>
      <c r="H253" t="s">
        <v>15</v>
      </c>
      <c r="I253">
        <v>3</v>
      </c>
      <c r="J253" t="s">
        <v>16</v>
      </c>
      <c r="K253" t="s">
        <v>17</v>
      </c>
      <c r="L253">
        <v>55</v>
      </c>
      <c r="M253" t="str">
        <f t="shared" si="3"/>
        <v>Middle Age</v>
      </c>
      <c r="N253" t="s">
        <v>18</v>
      </c>
    </row>
    <row r="254" spans="1:14" x14ac:dyDescent="0.25">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2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38</v>
      </c>
      <c r="D258" s="3">
        <v>20000</v>
      </c>
      <c r="E258">
        <v>1</v>
      </c>
      <c r="F258" t="s">
        <v>31</v>
      </c>
      <c r="G258" t="s">
        <v>20</v>
      </c>
      <c r="H258" t="s">
        <v>15</v>
      </c>
      <c r="I258">
        <v>0</v>
      </c>
      <c r="J258" t="s">
        <v>16</v>
      </c>
      <c r="K258" t="s">
        <v>17</v>
      </c>
      <c r="L258">
        <v>43</v>
      </c>
      <c r="M258" t="str">
        <f t="shared" ref="M258:M321" si="4">IF(L258&gt;55, "Old", IF(L258&gt;=31,"Middle Age",IF(L258&lt;31, "Adolescent", "Invalid")))</f>
        <v>Middle Age</v>
      </c>
      <c r="N258" t="s">
        <v>18</v>
      </c>
    </row>
    <row r="259" spans="1:14" x14ac:dyDescent="0.25">
      <c r="A259">
        <v>14164</v>
      </c>
      <c r="B259" t="s">
        <v>37</v>
      </c>
      <c r="C259" t="s">
        <v>39</v>
      </c>
      <c r="D259" s="3">
        <v>50000</v>
      </c>
      <c r="E259">
        <v>0</v>
      </c>
      <c r="F259" t="s">
        <v>31</v>
      </c>
      <c r="G259" t="s">
        <v>14</v>
      </c>
      <c r="H259" t="s">
        <v>15</v>
      </c>
      <c r="I259">
        <v>0</v>
      </c>
      <c r="J259" t="s">
        <v>16</v>
      </c>
      <c r="K259" t="s">
        <v>17</v>
      </c>
      <c r="L259">
        <v>36</v>
      </c>
      <c r="M259" t="str">
        <f t="shared" si="4"/>
        <v>Middle Age</v>
      </c>
      <c r="N259" t="s">
        <v>15</v>
      </c>
    </row>
    <row r="260" spans="1:14" x14ac:dyDescent="0.25">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2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2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2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2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2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38</v>
      </c>
      <c r="D322" s="3">
        <v>100000</v>
      </c>
      <c r="E322">
        <v>0</v>
      </c>
      <c r="F322" t="s">
        <v>31</v>
      </c>
      <c r="G322" t="s">
        <v>28</v>
      </c>
      <c r="H322" t="s">
        <v>15</v>
      </c>
      <c r="I322">
        <v>0</v>
      </c>
      <c r="J322" t="s">
        <v>22</v>
      </c>
      <c r="K322" t="s">
        <v>24</v>
      </c>
      <c r="L322">
        <v>40</v>
      </c>
      <c r="M322" t="str">
        <f t="shared" ref="M322:M385" si="5">IF(L322&gt;55, "Old", IF(L322&gt;=31,"Middle Age",IF(L322&lt;31, "Adolescent", "Invalid")))</f>
        <v>Middle Age</v>
      </c>
      <c r="N322" t="s">
        <v>15</v>
      </c>
    </row>
    <row r="323" spans="1:14" x14ac:dyDescent="0.25">
      <c r="A323">
        <v>16675</v>
      </c>
      <c r="B323" t="s">
        <v>37</v>
      </c>
      <c r="C323" t="s">
        <v>39</v>
      </c>
      <c r="D323" s="3">
        <v>160000</v>
      </c>
      <c r="E323">
        <v>0</v>
      </c>
      <c r="F323" t="s">
        <v>31</v>
      </c>
      <c r="G323" t="s">
        <v>28</v>
      </c>
      <c r="H323" t="s">
        <v>18</v>
      </c>
      <c r="I323">
        <v>3</v>
      </c>
      <c r="J323" t="s">
        <v>16</v>
      </c>
      <c r="K323" t="s">
        <v>24</v>
      </c>
      <c r="L323">
        <v>47</v>
      </c>
      <c r="M323" t="str">
        <f t="shared" si="5"/>
        <v>Middle Age</v>
      </c>
      <c r="N323" t="s">
        <v>15</v>
      </c>
    </row>
    <row r="324" spans="1:14" x14ac:dyDescent="0.2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25">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2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2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2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2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2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2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39</v>
      </c>
      <c r="D386" s="3">
        <v>10000</v>
      </c>
      <c r="E386">
        <v>0</v>
      </c>
      <c r="F386" t="s">
        <v>19</v>
      </c>
      <c r="G386" t="s">
        <v>25</v>
      </c>
      <c r="H386" t="s">
        <v>18</v>
      </c>
      <c r="I386">
        <v>1</v>
      </c>
      <c r="J386" t="s">
        <v>16</v>
      </c>
      <c r="K386" t="s">
        <v>24</v>
      </c>
      <c r="L386">
        <v>28</v>
      </c>
      <c r="M386" t="str">
        <f t="shared" ref="M386:M449" si="6">IF(L386&gt;55, "Old", IF(L386&gt;=31,"Middle Age",IF(L386&lt;31, "Adolescent", "Invalid")))</f>
        <v>Adolescent</v>
      </c>
      <c r="N386" t="s">
        <v>15</v>
      </c>
    </row>
    <row r="387" spans="1:14" x14ac:dyDescent="0.25">
      <c r="A387">
        <v>18018</v>
      </c>
      <c r="B387" t="s">
        <v>37</v>
      </c>
      <c r="C387" t="s">
        <v>38</v>
      </c>
      <c r="D387" s="3">
        <v>30000</v>
      </c>
      <c r="E387">
        <v>3</v>
      </c>
      <c r="F387" t="s">
        <v>19</v>
      </c>
      <c r="G387" t="s">
        <v>20</v>
      </c>
      <c r="H387" t="s">
        <v>15</v>
      </c>
      <c r="I387">
        <v>0</v>
      </c>
      <c r="J387" t="s">
        <v>16</v>
      </c>
      <c r="K387" t="s">
        <v>17</v>
      </c>
      <c r="L387">
        <v>43</v>
      </c>
      <c r="M387" t="str">
        <f t="shared" si="6"/>
        <v>Middle Age</v>
      </c>
      <c r="N387" t="s">
        <v>18</v>
      </c>
    </row>
    <row r="388" spans="1:14" x14ac:dyDescent="0.25">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2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2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25">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2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39</v>
      </c>
      <c r="D432" s="3">
        <v>30000</v>
      </c>
      <c r="E432">
        <v>3</v>
      </c>
      <c r="F432" t="s">
        <v>27</v>
      </c>
      <c r="G432" t="s">
        <v>14</v>
      </c>
      <c r="H432" t="s">
        <v>15</v>
      </c>
      <c r="I432">
        <v>2</v>
      </c>
      <c r="J432" t="s">
        <v>23</v>
      </c>
      <c r="K432" t="s">
        <v>24</v>
      </c>
      <c r="L432">
        <v>55</v>
      </c>
      <c r="M432" t="str">
        <f t="shared" si="6"/>
        <v>Middle Age</v>
      </c>
      <c r="N432" t="s">
        <v>18</v>
      </c>
    </row>
    <row r="433" spans="1:14" x14ac:dyDescent="0.2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2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25">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2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39</v>
      </c>
      <c r="D450" s="3">
        <v>30000</v>
      </c>
      <c r="E450">
        <v>3</v>
      </c>
      <c r="F450" t="s">
        <v>31</v>
      </c>
      <c r="G450" t="s">
        <v>20</v>
      </c>
      <c r="H450" t="s">
        <v>15</v>
      </c>
      <c r="I450">
        <v>0</v>
      </c>
      <c r="J450" t="s">
        <v>16</v>
      </c>
      <c r="K450" t="s">
        <v>17</v>
      </c>
      <c r="L450">
        <v>46</v>
      </c>
      <c r="M450" t="str">
        <f t="shared" ref="M450:M513" si="7">IF(L450&gt;55, "Old", IF(L450&gt;=31,"Middle Age",IF(L450&lt;31, "Adolescent", "Invalid")))</f>
        <v>Middle Age</v>
      </c>
      <c r="N450" t="s">
        <v>18</v>
      </c>
    </row>
    <row r="451" spans="1:14" x14ac:dyDescent="0.25">
      <c r="A451">
        <v>12497</v>
      </c>
      <c r="B451" t="s">
        <v>36</v>
      </c>
      <c r="C451" t="s">
        <v>39</v>
      </c>
      <c r="D451" s="3">
        <v>40000</v>
      </c>
      <c r="E451">
        <v>1</v>
      </c>
      <c r="F451" t="s">
        <v>13</v>
      </c>
      <c r="G451" t="s">
        <v>14</v>
      </c>
      <c r="H451" t="s">
        <v>15</v>
      </c>
      <c r="I451">
        <v>0</v>
      </c>
      <c r="J451" t="s">
        <v>16</v>
      </c>
      <c r="K451" t="s">
        <v>17</v>
      </c>
      <c r="L451">
        <v>42</v>
      </c>
      <c r="M451" t="str">
        <f t="shared" si="7"/>
        <v>Middle Age</v>
      </c>
      <c r="N451" t="s">
        <v>18</v>
      </c>
    </row>
    <row r="452" spans="1:14" x14ac:dyDescent="0.2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25">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25">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2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25">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2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39</v>
      </c>
      <c r="D514" s="3">
        <v>60000</v>
      </c>
      <c r="E514">
        <v>1</v>
      </c>
      <c r="F514" t="s">
        <v>19</v>
      </c>
      <c r="G514" t="s">
        <v>14</v>
      </c>
      <c r="H514" t="s">
        <v>15</v>
      </c>
      <c r="I514">
        <v>1</v>
      </c>
      <c r="J514" t="s">
        <v>16</v>
      </c>
      <c r="K514" t="s">
        <v>32</v>
      </c>
      <c r="L514">
        <v>45</v>
      </c>
      <c r="M514" t="str">
        <f t="shared" ref="M514:M577" si="8">IF(L514&gt;55, "Old", IF(L514&gt;=31,"Middle Age",IF(L514&lt;31, "Adolescent", "Invalid")))</f>
        <v>Middle Age</v>
      </c>
      <c r="N514" t="s">
        <v>15</v>
      </c>
    </row>
    <row r="515" spans="1:14" x14ac:dyDescent="0.25">
      <c r="A515">
        <v>13353</v>
      </c>
      <c r="B515" t="s">
        <v>37</v>
      </c>
      <c r="C515" t="s">
        <v>39</v>
      </c>
      <c r="D515" s="3">
        <v>60000</v>
      </c>
      <c r="E515">
        <v>4</v>
      </c>
      <c r="F515" t="s">
        <v>31</v>
      </c>
      <c r="G515" t="s">
        <v>28</v>
      </c>
      <c r="H515" t="s">
        <v>15</v>
      </c>
      <c r="I515">
        <v>2</v>
      </c>
      <c r="J515" t="s">
        <v>46</v>
      </c>
      <c r="K515" t="s">
        <v>32</v>
      </c>
      <c r="L515">
        <v>61</v>
      </c>
      <c r="M515" t="str">
        <f t="shared" si="8"/>
        <v>Old</v>
      </c>
      <c r="N515" t="s">
        <v>15</v>
      </c>
    </row>
    <row r="516" spans="1:14" x14ac:dyDescent="0.2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2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2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2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25">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2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38</v>
      </c>
      <c r="D549" s="3">
        <v>60000</v>
      </c>
      <c r="E549">
        <v>2</v>
      </c>
      <c r="F549" t="s">
        <v>27</v>
      </c>
      <c r="G549" t="s">
        <v>21</v>
      </c>
      <c r="H549" t="s">
        <v>15</v>
      </c>
      <c r="I549">
        <v>2</v>
      </c>
      <c r="J549" t="s">
        <v>22</v>
      </c>
      <c r="K549" t="s">
        <v>32</v>
      </c>
      <c r="L549">
        <v>55</v>
      </c>
      <c r="M549" t="str">
        <f t="shared" si="8"/>
        <v>Middle Age</v>
      </c>
      <c r="N549" t="s">
        <v>15</v>
      </c>
    </row>
    <row r="550" spans="1:14" x14ac:dyDescent="0.2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25">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2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2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25">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38</v>
      </c>
      <c r="D573" s="3">
        <v>40000</v>
      </c>
      <c r="E573">
        <v>2</v>
      </c>
      <c r="F573" t="s">
        <v>29</v>
      </c>
      <c r="G573" t="s">
        <v>14</v>
      </c>
      <c r="H573" t="s">
        <v>15</v>
      </c>
      <c r="I573">
        <v>2</v>
      </c>
      <c r="J573" t="s">
        <v>22</v>
      </c>
      <c r="K573" t="s">
        <v>32</v>
      </c>
      <c r="L573">
        <v>55</v>
      </c>
      <c r="M573" t="str">
        <f t="shared" si="8"/>
        <v>Middle Age</v>
      </c>
      <c r="N573" t="s">
        <v>18</v>
      </c>
    </row>
    <row r="574" spans="1:14" x14ac:dyDescent="0.25">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25">
      <c r="A578">
        <v>18752</v>
      </c>
      <c r="B578" t="s">
        <v>37</v>
      </c>
      <c r="C578" t="s">
        <v>39</v>
      </c>
      <c r="D578" s="3">
        <v>40000</v>
      </c>
      <c r="E578">
        <v>0</v>
      </c>
      <c r="F578" t="s">
        <v>27</v>
      </c>
      <c r="G578" t="s">
        <v>14</v>
      </c>
      <c r="H578" t="s">
        <v>15</v>
      </c>
      <c r="I578">
        <v>1</v>
      </c>
      <c r="J578" t="s">
        <v>23</v>
      </c>
      <c r="K578" t="s">
        <v>32</v>
      </c>
      <c r="L578">
        <v>31</v>
      </c>
      <c r="M578" t="str">
        <f t="shared" ref="M578:M641" si="9">IF(L578&gt;55, "Old", IF(L578&gt;=31,"Middle Age",IF(L578&lt;31, "Adolescent", "Invalid")))</f>
        <v>Middle Age</v>
      </c>
      <c r="N578" t="s">
        <v>18</v>
      </c>
    </row>
    <row r="579" spans="1:14" x14ac:dyDescent="0.25">
      <c r="A579">
        <v>16917</v>
      </c>
      <c r="B579" t="s">
        <v>36</v>
      </c>
      <c r="C579" t="s">
        <v>38</v>
      </c>
      <c r="D579" s="3">
        <v>120000</v>
      </c>
      <c r="E579">
        <v>1</v>
      </c>
      <c r="F579" t="s">
        <v>13</v>
      </c>
      <c r="G579" t="s">
        <v>28</v>
      </c>
      <c r="H579" t="s">
        <v>15</v>
      </c>
      <c r="I579">
        <v>4</v>
      </c>
      <c r="J579" t="s">
        <v>16</v>
      </c>
      <c r="K579" t="s">
        <v>32</v>
      </c>
      <c r="L579">
        <v>38</v>
      </c>
      <c r="M579" t="str">
        <f t="shared" si="9"/>
        <v>Middle Age</v>
      </c>
      <c r="N579" t="s">
        <v>18</v>
      </c>
    </row>
    <row r="580" spans="1:14" x14ac:dyDescent="0.2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2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2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25">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2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2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25">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39</v>
      </c>
      <c r="D625" s="3">
        <v>70000</v>
      </c>
      <c r="E625">
        <v>4</v>
      </c>
      <c r="F625" t="s">
        <v>19</v>
      </c>
      <c r="G625" t="s">
        <v>21</v>
      </c>
      <c r="H625" t="s">
        <v>15</v>
      </c>
      <c r="I625">
        <v>1</v>
      </c>
      <c r="J625" t="s">
        <v>26</v>
      </c>
      <c r="K625" t="s">
        <v>32</v>
      </c>
      <c r="L625">
        <v>55</v>
      </c>
      <c r="M625" t="str">
        <f t="shared" si="9"/>
        <v>Middle Age</v>
      </c>
      <c r="N625" t="s">
        <v>18</v>
      </c>
    </row>
    <row r="626" spans="1:14" x14ac:dyDescent="0.2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39</v>
      </c>
      <c r="D642" s="3">
        <v>60000</v>
      </c>
      <c r="E642">
        <v>2</v>
      </c>
      <c r="F642" t="s">
        <v>19</v>
      </c>
      <c r="G642" t="s">
        <v>21</v>
      </c>
      <c r="H642" t="s">
        <v>15</v>
      </c>
      <c r="I642">
        <v>2</v>
      </c>
      <c r="J642" t="s">
        <v>22</v>
      </c>
      <c r="K642" t="s">
        <v>32</v>
      </c>
      <c r="L642">
        <v>56</v>
      </c>
      <c r="M642" t="str">
        <f t="shared" ref="M642:M705" si="10">IF(L642&gt;55, "Old", IF(L642&gt;=31,"Middle Age",IF(L642&lt;31, "Adolescent", "Invalid")))</f>
        <v>Old</v>
      </c>
      <c r="N642" t="s">
        <v>15</v>
      </c>
    </row>
    <row r="643" spans="1:14" x14ac:dyDescent="0.25">
      <c r="A643">
        <v>21441</v>
      </c>
      <c r="B643" t="s">
        <v>36</v>
      </c>
      <c r="C643" t="s">
        <v>38</v>
      </c>
      <c r="D643" s="3">
        <v>50000</v>
      </c>
      <c r="E643">
        <v>4</v>
      </c>
      <c r="F643" t="s">
        <v>13</v>
      </c>
      <c r="G643" t="s">
        <v>28</v>
      </c>
      <c r="H643" t="s">
        <v>15</v>
      </c>
      <c r="I643">
        <v>2</v>
      </c>
      <c r="J643" t="s">
        <v>46</v>
      </c>
      <c r="K643" t="s">
        <v>32</v>
      </c>
      <c r="L643">
        <v>64</v>
      </c>
      <c r="M643" t="str">
        <f t="shared" si="10"/>
        <v>Old</v>
      </c>
      <c r="N643" t="s">
        <v>18</v>
      </c>
    </row>
    <row r="644" spans="1:14" x14ac:dyDescent="0.2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2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2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2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2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2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2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39</v>
      </c>
      <c r="D706" s="3">
        <v>40000</v>
      </c>
      <c r="E706">
        <v>0</v>
      </c>
      <c r="F706" t="s">
        <v>13</v>
      </c>
      <c r="G706" t="s">
        <v>21</v>
      </c>
      <c r="H706" t="s">
        <v>15</v>
      </c>
      <c r="I706">
        <v>1</v>
      </c>
      <c r="J706" t="s">
        <v>22</v>
      </c>
      <c r="K706" t="s">
        <v>32</v>
      </c>
      <c r="L706">
        <v>42</v>
      </c>
      <c r="M706" t="str">
        <f t="shared" ref="M706:M769" si="11">IF(L706&gt;55, "Old", IF(L706&gt;=31,"Middle Age",IF(L706&lt;31, "Adolescent", "Invalid")))</f>
        <v>Middle Age</v>
      </c>
      <c r="N706" t="s">
        <v>15</v>
      </c>
    </row>
    <row r="707" spans="1:14" x14ac:dyDescent="0.25">
      <c r="A707">
        <v>11199</v>
      </c>
      <c r="B707" t="s">
        <v>36</v>
      </c>
      <c r="C707" t="s">
        <v>39</v>
      </c>
      <c r="D707" s="3">
        <v>70000</v>
      </c>
      <c r="E707">
        <v>4</v>
      </c>
      <c r="F707" t="s">
        <v>13</v>
      </c>
      <c r="G707" t="s">
        <v>28</v>
      </c>
      <c r="H707" t="s">
        <v>15</v>
      </c>
      <c r="I707">
        <v>1</v>
      </c>
      <c r="J707" t="s">
        <v>46</v>
      </c>
      <c r="K707" t="s">
        <v>32</v>
      </c>
      <c r="L707">
        <v>59</v>
      </c>
      <c r="M707" t="str">
        <f t="shared" si="11"/>
        <v>Old</v>
      </c>
      <c r="N707" t="s">
        <v>18</v>
      </c>
    </row>
    <row r="708" spans="1:14" x14ac:dyDescent="0.25">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25">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25">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2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39</v>
      </c>
      <c r="D741" s="3">
        <v>60000</v>
      </c>
      <c r="E741">
        <v>2</v>
      </c>
      <c r="F741" t="s">
        <v>19</v>
      </c>
      <c r="G741" t="s">
        <v>21</v>
      </c>
      <c r="H741" t="s">
        <v>15</v>
      </c>
      <c r="I741">
        <v>1</v>
      </c>
      <c r="J741" t="s">
        <v>46</v>
      </c>
      <c r="K741" t="s">
        <v>32</v>
      </c>
      <c r="L741">
        <v>55</v>
      </c>
      <c r="M741" t="str">
        <f t="shared" si="11"/>
        <v>Middle Age</v>
      </c>
      <c r="N741" t="s">
        <v>18</v>
      </c>
    </row>
    <row r="742" spans="1:14" x14ac:dyDescent="0.25">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25">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25">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25">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2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39</v>
      </c>
      <c r="D770" s="3">
        <v>120000</v>
      </c>
      <c r="E770">
        <v>1</v>
      </c>
      <c r="F770" t="s">
        <v>27</v>
      </c>
      <c r="G770" t="s">
        <v>21</v>
      </c>
      <c r="H770" t="s">
        <v>18</v>
      </c>
      <c r="I770">
        <v>4</v>
      </c>
      <c r="J770" t="s">
        <v>22</v>
      </c>
      <c r="K770" t="s">
        <v>32</v>
      </c>
      <c r="L770">
        <v>45</v>
      </c>
      <c r="M770" t="str">
        <f t="shared" ref="M770:M833" si="12">IF(L770&gt;55, "Old", IF(L770&gt;=31,"Middle Age",IF(L770&lt;31, "Adolescent", "Invalid")))</f>
        <v>Middle Age</v>
      </c>
      <c r="N770" t="s">
        <v>18</v>
      </c>
    </row>
    <row r="771" spans="1:14" x14ac:dyDescent="0.25">
      <c r="A771">
        <v>18952</v>
      </c>
      <c r="B771" t="s">
        <v>36</v>
      </c>
      <c r="C771" t="s">
        <v>39</v>
      </c>
      <c r="D771" s="3">
        <v>100000</v>
      </c>
      <c r="E771">
        <v>4</v>
      </c>
      <c r="F771" t="s">
        <v>13</v>
      </c>
      <c r="G771" t="s">
        <v>28</v>
      </c>
      <c r="H771" t="s">
        <v>15</v>
      </c>
      <c r="I771">
        <v>4</v>
      </c>
      <c r="J771" t="s">
        <v>16</v>
      </c>
      <c r="K771" t="s">
        <v>32</v>
      </c>
      <c r="L771">
        <v>40</v>
      </c>
      <c r="M771" t="str">
        <f t="shared" si="12"/>
        <v>Middle Age</v>
      </c>
      <c r="N771" t="s">
        <v>18</v>
      </c>
    </row>
    <row r="772" spans="1:14" x14ac:dyDescent="0.25">
      <c r="A772">
        <v>17699</v>
      </c>
      <c r="B772" t="s">
        <v>36</v>
      </c>
      <c r="C772" t="s">
        <v>38</v>
      </c>
      <c r="D772" s="3">
        <v>60000</v>
      </c>
      <c r="E772">
        <v>1</v>
      </c>
      <c r="F772" t="s">
        <v>31</v>
      </c>
      <c r="G772" t="s">
        <v>14</v>
      </c>
      <c r="H772" t="s">
        <v>18</v>
      </c>
      <c r="I772">
        <v>0</v>
      </c>
      <c r="J772" t="s">
        <v>16</v>
      </c>
      <c r="K772" t="s">
        <v>32</v>
      </c>
      <c r="L772">
        <v>55</v>
      </c>
      <c r="M772" t="str">
        <f t="shared" si="12"/>
        <v>Middle Age</v>
      </c>
      <c r="N772" t="s">
        <v>18</v>
      </c>
    </row>
    <row r="773" spans="1:14" x14ac:dyDescent="0.25">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2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39</v>
      </c>
      <c r="D782" s="3">
        <v>60000</v>
      </c>
      <c r="E782">
        <v>2</v>
      </c>
      <c r="F782" t="s">
        <v>19</v>
      </c>
      <c r="G782" t="s">
        <v>21</v>
      </c>
      <c r="H782" t="s">
        <v>15</v>
      </c>
      <c r="I782">
        <v>1</v>
      </c>
      <c r="J782" t="s">
        <v>46</v>
      </c>
      <c r="K782" t="s">
        <v>32</v>
      </c>
      <c r="L782">
        <v>55</v>
      </c>
      <c r="M782" t="str">
        <f t="shared" si="12"/>
        <v>Middle Age</v>
      </c>
      <c r="N782" t="s">
        <v>18</v>
      </c>
    </row>
    <row r="783" spans="1:14" x14ac:dyDescent="0.25">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25">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2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39</v>
      </c>
      <c r="D834" s="3">
        <v>60000</v>
      </c>
      <c r="E834">
        <v>0</v>
      </c>
      <c r="F834" t="s">
        <v>31</v>
      </c>
      <c r="G834" t="s">
        <v>21</v>
      </c>
      <c r="H834" t="s">
        <v>15</v>
      </c>
      <c r="I834">
        <v>0</v>
      </c>
      <c r="J834" t="s">
        <v>16</v>
      </c>
      <c r="K834" t="s">
        <v>32</v>
      </c>
      <c r="L834">
        <v>39</v>
      </c>
      <c r="M834" t="str">
        <f t="shared" ref="M834:M897" si="13">IF(L834&gt;55, "Old", IF(L834&gt;=31,"Middle Age",IF(L834&lt;31, "Adolescent", "Invalid")))</f>
        <v>Middle Age</v>
      </c>
      <c r="N834" t="s">
        <v>18</v>
      </c>
    </row>
    <row r="835" spans="1:14" x14ac:dyDescent="0.25">
      <c r="A835">
        <v>27540</v>
      </c>
      <c r="B835" t="s">
        <v>37</v>
      </c>
      <c r="C835" t="s">
        <v>39</v>
      </c>
      <c r="D835" s="3">
        <v>70000</v>
      </c>
      <c r="E835">
        <v>0</v>
      </c>
      <c r="F835" t="s">
        <v>13</v>
      </c>
      <c r="G835" t="s">
        <v>21</v>
      </c>
      <c r="H835" t="s">
        <v>18</v>
      </c>
      <c r="I835">
        <v>1</v>
      </c>
      <c r="J835" t="s">
        <v>16</v>
      </c>
      <c r="K835" t="s">
        <v>32</v>
      </c>
      <c r="L835">
        <v>37</v>
      </c>
      <c r="M835" t="str">
        <f t="shared" si="13"/>
        <v>Middle Age</v>
      </c>
      <c r="N835" t="s">
        <v>15</v>
      </c>
    </row>
    <row r="836" spans="1:14" x14ac:dyDescent="0.25">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2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25">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38</v>
      </c>
      <c r="D868" s="3">
        <v>60000</v>
      </c>
      <c r="E868">
        <v>2</v>
      </c>
      <c r="F868" t="s">
        <v>27</v>
      </c>
      <c r="G868" t="s">
        <v>21</v>
      </c>
      <c r="H868" t="s">
        <v>15</v>
      </c>
      <c r="I868">
        <v>2</v>
      </c>
      <c r="J868" t="s">
        <v>46</v>
      </c>
      <c r="K868" t="s">
        <v>32</v>
      </c>
      <c r="L868">
        <v>55</v>
      </c>
      <c r="M868" t="str">
        <f t="shared" si="13"/>
        <v>Middle Age</v>
      </c>
      <c r="N868" t="s">
        <v>18</v>
      </c>
    </row>
    <row r="869" spans="1:14" x14ac:dyDescent="0.25">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25">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38</v>
      </c>
      <c r="D873" s="3">
        <v>60000</v>
      </c>
      <c r="E873">
        <v>2</v>
      </c>
      <c r="F873" t="s">
        <v>27</v>
      </c>
      <c r="G873" t="s">
        <v>21</v>
      </c>
      <c r="H873" t="s">
        <v>15</v>
      </c>
      <c r="I873">
        <v>2</v>
      </c>
      <c r="J873" t="s">
        <v>46</v>
      </c>
      <c r="K873" t="s">
        <v>32</v>
      </c>
      <c r="L873">
        <v>55</v>
      </c>
      <c r="M873" t="str">
        <f t="shared" si="13"/>
        <v>Middle Age</v>
      </c>
      <c r="N873" t="s">
        <v>18</v>
      </c>
    </row>
    <row r="874" spans="1:14" x14ac:dyDescent="0.25">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39</v>
      </c>
      <c r="D898" s="3">
        <v>50000</v>
      </c>
      <c r="E898">
        <v>1</v>
      </c>
      <c r="F898" t="s">
        <v>13</v>
      </c>
      <c r="G898" t="s">
        <v>14</v>
      </c>
      <c r="H898" t="s">
        <v>15</v>
      </c>
      <c r="I898">
        <v>0</v>
      </c>
      <c r="J898" t="s">
        <v>16</v>
      </c>
      <c r="K898" t="s">
        <v>32</v>
      </c>
      <c r="L898">
        <v>34</v>
      </c>
      <c r="M898" t="str">
        <f t="shared" ref="M898:M961" si="14">IF(L898&gt;55, "Old", IF(L898&gt;=31,"Middle Age",IF(L898&lt;31, "Adolescent", "Invalid")))</f>
        <v>Middle Age</v>
      </c>
      <c r="N898" t="s">
        <v>15</v>
      </c>
    </row>
    <row r="899" spans="1:14" x14ac:dyDescent="0.25">
      <c r="A899">
        <v>12029</v>
      </c>
      <c r="B899" t="s">
        <v>36</v>
      </c>
      <c r="C899" t="s">
        <v>38</v>
      </c>
      <c r="D899" s="3">
        <v>30000</v>
      </c>
      <c r="E899">
        <v>0</v>
      </c>
      <c r="F899" t="s">
        <v>29</v>
      </c>
      <c r="G899" t="s">
        <v>20</v>
      </c>
      <c r="H899" t="s">
        <v>18</v>
      </c>
      <c r="I899">
        <v>2</v>
      </c>
      <c r="J899" t="s">
        <v>16</v>
      </c>
      <c r="K899" t="s">
        <v>32</v>
      </c>
      <c r="L899">
        <v>28</v>
      </c>
      <c r="M899" t="str">
        <f t="shared" si="14"/>
        <v>Adolescent</v>
      </c>
      <c r="N899" t="s">
        <v>18</v>
      </c>
    </row>
    <row r="900" spans="1:14" x14ac:dyDescent="0.25">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25">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25">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25">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25">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25">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25">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25">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25">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38</v>
      </c>
      <c r="D962" s="3">
        <v>100000</v>
      </c>
      <c r="E962">
        <v>0</v>
      </c>
      <c r="F962" t="s">
        <v>19</v>
      </c>
      <c r="G962" t="s">
        <v>21</v>
      </c>
      <c r="H962" t="s">
        <v>18</v>
      </c>
      <c r="I962">
        <v>4</v>
      </c>
      <c r="J962" t="s">
        <v>26</v>
      </c>
      <c r="K962" t="s">
        <v>32</v>
      </c>
      <c r="L962">
        <v>45</v>
      </c>
      <c r="M962" t="str">
        <f t="shared" ref="M962:M1025" si="15">IF(L962&gt;55, "Old", IF(L962&gt;=31,"Middle Age",IF(L962&lt;31, "Adolescent", "Invalid")))</f>
        <v>Middle Age</v>
      </c>
      <c r="N962" t="s">
        <v>18</v>
      </c>
    </row>
    <row r="963" spans="1:14" x14ac:dyDescent="0.25">
      <c r="A963">
        <v>16651</v>
      </c>
      <c r="B963" t="s">
        <v>36</v>
      </c>
      <c r="C963" t="s">
        <v>39</v>
      </c>
      <c r="D963" s="3">
        <v>120000</v>
      </c>
      <c r="E963">
        <v>2</v>
      </c>
      <c r="F963" t="s">
        <v>13</v>
      </c>
      <c r="G963" t="s">
        <v>28</v>
      </c>
      <c r="H963" t="s">
        <v>15</v>
      </c>
      <c r="I963">
        <v>3</v>
      </c>
      <c r="J963" t="s">
        <v>23</v>
      </c>
      <c r="K963" t="s">
        <v>32</v>
      </c>
      <c r="L963">
        <v>62</v>
      </c>
      <c r="M963" t="str">
        <f t="shared" si="15"/>
        <v>Old</v>
      </c>
      <c r="N963" t="s">
        <v>18</v>
      </c>
    </row>
    <row r="964" spans="1:14" x14ac:dyDescent="0.25">
      <c r="A964">
        <v>16813</v>
      </c>
      <c r="B964" t="s">
        <v>36</v>
      </c>
      <c r="C964" t="s">
        <v>38</v>
      </c>
      <c r="D964" s="3">
        <v>60000</v>
      </c>
      <c r="E964">
        <v>2</v>
      </c>
      <c r="F964" t="s">
        <v>19</v>
      </c>
      <c r="G964" t="s">
        <v>21</v>
      </c>
      <c r="H964" t="s">
        <v>15</v>
      </c>
      <c r="I964">
        <v>2</v>
      </c>
      <c r="J964" t="s">
        <v>46</v>
      </c>
      <c r="K964" t="s">
        <v>32</v>
      </c>
      <c r="L964">
        <v>55</v>
      </c>
      <c r="M964" t="str">
        <f t="shared" si="15"/>
        <v>Middle Age</v>
      </c>
      <c r="N964" t="s">
        <v>18</v>
      </c>
    </row>
    <row r="965" spans="1:14" x14ac:dyDescent="0.2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25">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2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25">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25">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25">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25">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25">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0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42"/>
  <sheetViews>
    <sheetView topLeftCell="A28" workbookViewId="0">
      <selection activeCell="N9" sqref="N9"/>
    </sheetView>
  </sheetViews>
  <sheetFormatPr defaultRowHeight="15" x14ac:dyDescent="0.25"/>
  <cols>
    <col min="1" max="1" width="22.85546875" customWidth="1"/>
    <col min="2" max="2" width="16.28515625" customWidth="1"/>
    <col min="3" max="3" width="4.140625" customWidth="1"/>
    <col min="4" max="4" width="11.28515625" customWidth="1"/>
  </cols>
  <sheetData>
    <row r="3" spans="1:4" x14ac:dyDescent="0.25">
      <c r="A3" s="4" t="s">
        <v>44</v>
      </c>
      <c r="B3" s="4" t="s">
        <v>41</v>
      </c>
    </row>
    <row r="4" spans="1:4" x14ac:dyDescent="0.25">
      <c r="A4" s="4" t="s">
        <v>43</v>
      </c>
      <c r="B4" t="s">
        <v>18</v>
      </c>
      <c r="C4" t="s">
        <v>15</v>
      </c>
      <c r="D4" t="s">
        <v>42</v>
      </c>
    </row>
    <row r="5" spans="1:4" x14ac:dyDescent="0.25">
      <c r="A5" s="6" t="s">
        <v>39</v>
      </c>
      <c r="B5" s="7">
        <v>53440</v>
      </c>
      <c r="C5" s="7">
        <v>55774.058577405856</v>
      </c>
      <c r="D5" s="7">
        <v>54580.777096114522</v>
      </c>
    </row>
    <row r="6" spans="1:4" x14ac:dyDescent="0.25">
      <c r="A6" s="6" t="s">
        <v>38</v>
      </c>
      <c r="B6" s="7">
        <v>56208.178438661707</v>
      </c>
      <c r="C6" s="7">
        <v>60123.966942148763</v>
      </c>
      <c r="D6" s="7">
        <v>58062.62230919765</v>
      </c>
    </row>
    <row r="7" spans="1:4" x14ac:dyDescent="0.25">
      <c r="A7" s="6" t="s">
        <v>42</v>
      </c>
      <c r="B7" s="7">
        <v>54874.759152215796</v>
      </c>
      <c r="C7" s="7">
        <v>57962.577962577961</v>
      </c>
      <c r="D7" s="7">
        <v>56360</v>
      </c>
    </row>
    <row r="21" spans="1:4" x14ac:dyDescent="0.25">
      <c r="A21" s="4" t="s">
        <v>45</v>
      </c>
      <c r="B21" s="4" t="s">
        <v>41</v>
      </c>
    </row>
    <row r="22" spans="1:4" x14ac:dyDescent="0.25">
      <c r="A22" s="4" t="s">
        <v>43</v>
      </c>
      <c r="B22" t="s">
        <v>18</v>
      </c>
      <c r="C22" t="s">
        <v>15</v>
      </c>
      <c r="D22" t="s">
        <v>42</v>
      </c>
    </row>
    <row r="23" spans="1:4" x14ac:dyDescent="0.25">
      <c r="A23" s="6" t="s">
        <v>16</v>
      </c>
      <c r="B23" s="5">
        <v>166</v>
      </c>
      <c r="C23" s="5">
        <v>200</v>
      </c>
      <c r="D23" s="5">
        <v>366</v>
      </c>
    </row>
    <row r="24" spans="1:4" x14ac:dyDescent="0.25">
      <c r="A24" s="6" t="s">
        <v>26</v>
      </c>
      <c r="B24" s="5">
        <v>92</v>
      </c>
      <c r="C24" s="5">
        <v>77</v>
      </c>
      <c r="D24" s="5">
        <v>169</v>
      </c>
    </row>
    <row r="25" spans="1:4" x14ac:dyDescent="0.25">
      <c r="A25" s="6" t="s">
        <v>22</v>
      </c>
      <c r="B25" s="5">
        <v>67</v>
      </c>
      <c r="C25" s="5">
        <v>95</v>
      </c>
      <c r="D25" s="5">
        <v>162</v>
      </c>
    </row>
    <row r="26" spans="1:4" x14ac:dyDescent="0.25">
      <c r="A26" s="6" t="s">
        <v>23</v>
      </c>
      <c r="B26" s="5">
        <v>116</v>
      </c>
      <c r="C26" s="5">
        <v>76</v>
      </c>
      <c r="D26" s="5">
        <v>192</v>
      </c>
    </row>
    <row r="27" spans="1:4" x14ac:dyDescent="0.25">
      <c r="A27" s="6" t="s">
        <v>46</v>
      </c>
      <c r="B27" s="5">
        <v>78</v>
      </c>
      <c r="C27" s="5">
        <v>33</v>
      </c>
      <c r="D27" s="5">
        <v>111</v>
      </c>
    </row>
    <row r="28" spans="1:4" x14ac:dyDescent="0.25">
      <c r="A28" s="6" t="s">
        <v>42</v>
      </c>
      <c r="B28" s="5">
        <v>519</v>
      </c>
      <c r="C28" s="5">
        <v>481</v>
      </c>
      <c r="D28" s="5">
        <v>1000</v>
      </c>
    </row>
    <row r="37" spans="1:4" x14ac:dyDescent="0.25">
      <c r="A37" s="4" t="s">
        <v>45</v>
      </c>
      <c r="B37" s="4" t="s">
        <v>41</v>
      </c>
    </row>
    <row r="38" spans="1:4" x14ac:dyDescent="0.25">
      <c r="A38" s="4" t="s">
        <v>43</v>
      </c>
      <c r="B38" t="s">
        <v>18</v>
      </c>
      <c r="C38" t="s">
        <v>15</v>
      </c>
      <c r="D38" t="s">
        <v>42</v>
      </c>
    </row>
    <row r="39" spans="1:4" x14ac:dyDescent="0.25">
      <c r="A39" s="6" t="s">
        <v>47</v>
      </c>
      <c r="B39" s="5">
        <v>71</v>
      </c>
      <c r="C39" s="5">
        <v>39</v>
      </c>
      <c r="D39" s="5">
        <v>110</v>
      </c>
    </row>
    <row r="40" spans="1:4" x14ac:dyDescent="0.25">
      <c r="A40" s="6" t="s">
        <v>48</v>
      </c>
      <c r="B40" s="5">
        <v>331</v>
      </c>
      <c r="C40" s="5">
        <v>388</v>
      </c>
      <c r="D40" s="5">
        <v>719</v>
      </c>
    </row>
    <row r="41" spans="1:4" x14ac:dyDescent="0.25">
      <c r="A41" s="6" t="s">
        <v>49</v>
      </c>
      <c r="B41" s="5">
        <v>117</v>
      </c>
      <c r="C41" s="5">
        <v>54</v>
      </c>
      <c r="D41" s="5">
        <v>171</v>
      </c>
    </row>
    <row r="42" spans="1:4" x14ac:dyDescent="0.25">
      <c r="A42" s="6" t="s">
        <v>42</v>
      </c>
      <c r="B42" s="5">
        <v>519</v>
      </c>
      <c r="C42" s="5">
        <v>481</v>
      </c>
      <c r="D42" s="5">
        <v>1000</v>
      </c>
    </row>
  </sheetData>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bike_buyers</vt:lpstr>
      <vt:lpstr>Working Sheet</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Marshall</cp:lastModifiedBy>
  <dcterms:created xsi:type="dcterms:W3CDTF">2022-03-18T02:50:57Z</dcterms:created>
  <dcterms:modified xsi:type="dcterms:W3CDTF">2022-08-07T15:10:37Z</dcterms:modified>
</cp:coreProperties>
</file>