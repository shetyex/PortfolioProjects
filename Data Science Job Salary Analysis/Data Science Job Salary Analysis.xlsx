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1 User files\Data Analyst Projects\Data Science Job Salaries\"/>
    </mc:Choice>
  </mc:AlternateContent>
  <bookViews>
    <workbookView xWindow="0" yWindow="0" windowWidth="20490" windowHeight="7620" firstSheet="1" activeTab="5"/>
  </bookViews>
  <sheets>
    <sheet name="ds_salaries OG" sheetId="3" state="hidden" r:id="rId1"/>
    <sheet name="Glossary" sheetId="2" r:id="rId2"/>
    <sheet name="ds_salaries" sheetId="1" r:id="rId3"/>
    <sheet name="Only US" sheetId="7" r:id="rId4"/>
    <sheet name="Pivot" sheetId="5" r:id="rId5"/>
    <sheet name="Report" sheetId="6" r:id="rId6"/>
  </sheets>
  <definedNames>
    <definedName name="_xlnm._FilterDatabase" localSheetId="2" hidden="1">ds_salaries!$A$1:$N$608</definedName>
    <definedName name="_xlnm._FilterDatabase" localSheetId="0" hidden="1">'ds_salaries OG'!$A$1:$L$608</definedName>
  </definedNames>
  <calcPr calcId="162913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D11" i="6" l="1" a="1"/>
  <c r="D11" i="6" s="1"/>
  <c r="C11" i="6" a="1"/>
  <c r="C11" i="6" s="1"/>
  <c r="B11" i="6" a="1"/>
  <c r="B11" i="6" s="1"/>
  <c r="D6" i="6" a="1"/>
  <c r="D6" i="6" s="1"/>
  <c r="B6" i="6" a="1"/>
  <c r="B6" i="6" s="1"/>
  <c r="C6" i="6" a="1"/>
  <c r="C6" i="6" s="1"/>
  <c r="E395" i="1"/>
  <c r="E15" i="1"/>
  <c r="E284" i="1"/>
  <c r="E574" i="1"/>
  <c r="E149" i="1"/>
  <c r="E423" i="1"/>
  <c r="E72" i="1"/>
  <c r="E545" i="1"/>
  <c r="E197" i="1"/>
  <c r="E223" i="1"/>
  <c r="E499" i="1"/>
  <c r="E531" i="1"/>
  <c r="E535" i="1"/>
  <c r="E371" i="1"/>
  <c r="E375" i="1"/>
  <c r="E599" i="1"/>
  <c r="E529" i="1"/>
  <c r="E263" i="1"/>
  <c r="E603" i="1"/>
  <c r="E482" i="1"/>
  <c r="E526" i="1"/>
  <c r="E600" i="1"/>
  <c r="E512" i="1"/>
  <c r="E331" i="1"/>
  <c r="E259" i="1"/>
  <c r="E10" i="1"/>
  <c r="E528" i="1"/>
  <c r="E548" i="1"/>
  <c r="E307" i="1"/>
  <c r="E251" i="1"/>
  <c r="E471" i="1"/>
  <c r="E430" i="1"/>
  <c r="E437" i="1"/>
  <c r="E3" i="1"/>
  <c r="E515" i="1"/>
  <c r="E418" i="1"/>
  <c r="E301" i="1"/>
  <c r="E18" i="1"/>
  <c r="E595" i="1"/>
  <c r="E187" i="1"/>
  <c r="E521" i="1"/>
  <c r="E394" i="1"/>
  <c r="E501" i="1"/>
  <c r="E289" i="1"/>
  <c r="E270" i="1"/>
  <c r="E587" i="1"/>
  <c r="E407" i="1"/>
  <c r="E75" i="1"/>
  <c r="E293" i="1"/>
  <c r="E429" i="1"/>
  <c r="E601" i="1"/>
  <c r="E346" i="1"/>
  <c r="E517" i="1"/>
  <c r="E488" i="1"/>
  <c r="E466" i="1"/>
  <c r="E161" i="1"/>
  <c r="E538" i="1"/>
  <c r="E248" i="1"/>
  <c r="E234" i="1"/>
  <c r="E186" i="1"/>
  <c r="E278" i="1"/>
  <c r="E206" i="1"/>
  <c r="E571" i="1"/>
  <c r="E7" i="1"/>
  <c r="E522" i="1"/>
  <c r="E456" i="1"/>
  <c r="E510" i="1"/>
  <c r="E71" i="1"/>
  <c r="E291" i="1"/>
  <c r="E345" i="1"/>
  <c r="E457" i="1"/>
  <c r="E527" i="1"/>
  <c r="E380" i="1"/>
  <c r="E153" i="1"/>
  <c r="E25" i="1"/>
  <c r="E492" i="1"/>
  <c r="E312" i="1"/>
  <c r="E605" i="1"/>
  <c r="E13" i="1"/>
  <c r="E386" i="1"/>
  <c r="E396" i="1"/>
  <c r="E180" i="1"/>
  <c r="E489" i="1"/>
  <c r="E513" i="1"/>
  <c r="E141" i="1"/>
  <c r="E557" i="1"/>
  <c r="E472" i="1"/>
  <c r="E279" i="1"/>
  <c r="E97" i="1"/>
  <c r="E387" i="1"/>
  <c r="E362" i="1"/>
  <c r="E410" i="1"/>
  <c r="E579" i="1"/>
  <c r="E12" i="1"/>
  <c r="E555" i="1"/>
  <c r="E361" i="1"/>
  <c r="E592" i="1"/>
  <c r="E4" i="1"/>
  <c r="E431" i="1"/>
  <c r="E334" i="1"/>
  <c r="E414" i="1"/>
  <c r="E150" i="1"/>
  <c r="E544" i="1"/>
  <c r="E460" i="1"/>
  <c r="E420" i="1"/>
  <c r="E498" i="1"/>
  <c r="E76" i="1"/>
  <c r="E258" i="1"/>
  <c r="E151" i="1"/>
  <c r="E554" i="1"/>
  <c r="E337" i="1"/>
  <c r="E264" i="1"/>
  <c r="E300" i="1"/>
  <c r="E593" i="1"/>
  <c r="E523" i="1"/>
  <c r="E29" i="1"/>
  <c r="E503" i="1"/>
  <c r="E532" i="1"/>
  <c r="E355" i="1"/>
  <c r="E62" i="1"/>
  <c r="E468" i="1"/>
  <c r="E56" i="1"/>
  <c r="E502" i="1"/>
  <c r="E276" i="1"/>
  <c r="E594" i="1"/>
  <c r="E146" i="1"/>
  <c r="E235" i="1"/>
  <c r="E597" i="1"/>
  <c r="E577" i="1"/>
  <c r="E530" i="1"/>
  <c r="E308" i="1"/>
  <c r="E507" i="1"/>
  <c r="E539" i="1"/>
  <c r="E567" i="1"/>
  <c r="E309" i="1"/>
  <c r="E358" i="1"/>
  <c r="E455" i="1"/>
  <c r="E406" i="1"/>
  <c r="E34" i="1"/>
  <c r="E388" i="1"/>
  <c r="E198" i="1"/>
  <c r="E23" i="1"/>
  <c r="E152" i="1"/>
  <c r="E382" i="1"/>
  <c r="E313" i="1"/>
  <c r="E379" i="1"/>
  <c r="E459" i="1"/>
  <c r="E359" i="1"/>
  <c r="E142" i="1"/>
  <c r="E123" i="1"/>
  <c r="E105" i="1"/>
  <c r="E155" i="1"/>
  <c r="E413" i="1"/>
  <c r="E588" i="1"/>
  <c r="E168" i="1"/>
  <c r="E219" i="1"/>
  <c r="E246" i="1"/>
  <c r="E5" i="1"/>
  <c r="E236" i="1"/>
  <c r="E224" i="1"/>
  <c r="E26" i="1"/>
  <c r="E373" i="1"/>
  <c r="E559" i="1"/>
  <c r="E452" i="1"/>
  <c r="E207" i="1"/>
  <c r="E112" i="1"/>
  <c r="E389" i="1"/>
  <c r="E19" i="1"/>
  <c r="E483" i="1"/>
  <c r="E156" i="1"/>
  <c r="E101" i="1"/>
  <c r="E381" i="1"/>
  <c r="E467" i="1"/>
  <c r="E24" i="1"/>
  <c r="E465" i="1"/>
  <c r="E94" i="1"/>
  <c r="E608" i="1"/>
  <c r="E533" i="1"/>
  <c r="E385" i="1"/>
  <c r="E604" i="1"/>
  <c r="E568" i="1"/>
  <c r="E347" i="1"/>
  <c r="E561" i="1"/>
  <c r="E461" i="1"/>
  <c r="E591" i="1"/>
  <c r="E606" i="1"/>
  <c r="E505" i="1"/>
  <c r="E433" i="1"/>
  <c r="E411" i="1"/>
  <c r="E419" i="1"/>
  <c r="E145" i="1"/>
  <c r="E570" i="1"/>
  <c r="E584" i="1"/>
  <c r="E95" i="1"/>
  <c r="E333" i="1"/>
  <c r="E163" i="1"/>
  <c r="E598" i="1"/>
  <c r="E566" i="1"/>
  <c r="E490" i="1"/>
  <c r="E356" i="1"/>
  <c r="E462" i="1"/>
  <c r="E67" i="1"/>
  <c r="E540" i="1"/>
  <c r="E506" i="1"/>
  <c r="E126" i="1"/>
  <c r="E589" i="1"/>
  <c r="E57" i="1"/>
  <c r="E113" i="1"/>
  <c r="E575" i="1"/>
  <c r="E237" i="1"/>
  <c r="E564" i="1"/>
  <c r="E480" i="1"/>
  <c r="E441" i="1"/>
  <c r="E602" i="1"/>
  <c r="E565" i="1"/>
  <c r="E78" i="1"/>
  <c r="E556" i="1"/>
  <c r="E348" i="1"/>
  <c r="E363" i="1"/>
  <c r="E177" i="1"/>
  <c r="E516" i="1"/>
  <c r="E252" i="1"/>
  <c r="E547" i="1"/>
  <c r="E481" i="1"/>
  <c r="E30" i="1"/>
  <c r="E6" i="1"/>
  <c r="E369" i="1"/>
  <c r="E364" i="1"/>
  <c r="E194" i="1"/>
  <c r="E425" i="1"/>
  <c r="E586" i="1"/>
  <c r="E17" i="1"/>
  <c r="E58" i="1"/>
  <c r="E59" i="1"/>
  <c r="E88" i="1"/>
  <c r="E280" i="1"/>
  <c r="E454" i="1"/>
  <c r="E514" i="1"/>
  <c r="E607" i="1"/>
  <c r="E572" i="1"/>
  <c r="E299" i="1"/>
  <c r="E390" i="1"/>
  <c r="E281" i="1"/>
  <c r="E114" i="1"/>
  <c r="E583" i="1"/>
  <c r="E422" i="1"/>
  <c r="E543" i="1"/>
  <c r="E590" i="1"/>
  <c r="E332" i="1"/>
  <c r="E98" i="1"/>
  <c r="E260" i="1"/>
  <c r="E357" i="1"/>
  <c r="E2" i="1"/>
  <c r="E558" i="1"/>
  <c r="E342" i="1"/>
  <c r="E322" i="1"/>
  <c r="E63" i="1"/>
  <c r="E96" i="1"/>
  <c r="E79" i="1"/>
  <c r="E171" i="1"/>
  <c r="E211" i="1"/>
  <c r="E453" i="1"/>
  <c r="E585" i="1"/>
  <c r="E440" i="1"/>
  <c r="E562" i="1"/>
  <c r="E124" i="1"/>
  <c r="E341" i="1"/>
  <c r="E273" i="1"/>
  <c r="E560" i="1"/>
  <c r="E447" i="1"/>
  <c r="E421" i="1"/>
  <c r="E580" i="1"/>
  <c r="E412" i="1"/>
  <c r="E374" i="1"/>
  <c r="E405" i="1"/>
  <c r="E310" i="1"/>
  <c r="E479" i="1"/>
  <c r="E484" i="1"/>
  <c r="E573" i="1"/>
  <c r="E473" i="1"/>
  <c r="E272" i="1"/>
  <c r="E311" i="1"/>
  <c r="E434" i="1"/>
  <c r="E292" i="1"/>
  <c r="E432" i="1"/>
  <c r="E336" i="1"/>
  <c r="E302" i="1"/>
  <c r="E285" i="1"/>
  <c r="E500" i="1"/>
  <c r="E195" i="1"/>
  <c r="E135" i="1"/>
  <c r="E232" i="1"/>
  <c r="E212" i="1"/>
  <c r="E360" i="1"/>
  <c r="E102" i="1"/>
  <c r="E157" i="1"/>
  <c r="E303" i="1"/>
  <c r="E377" i="1"/>
  <c r="E190" i="1"/>
  <c r="E323" i="1"/>
  <c r="E249" i="1"/>
  <c r="E297" i="1"/>
  <c r="E164" i="1"/>
  <c r="E228" i="1"/>
  <c r="E496" i="1"/>
  <c r="E326" i="1"/>
  <c r="E254" i="1"/>
  <c r="E287" i="1"/>
  <c r="E220" i="1"/>
  <c r="E21" i="1"/>
  <c r="E60" i="1"/>
  <c r="E444" i="1"/>
  <c r="E536" i="1"/>
  <c r="E400" i="1"/>
  <c r="E494" i="1"/>
  <c r="E111" i="1"/>
  <c r="E520" i="1"/>
  <c r="E233" i="1"/>
  <c r="E350" i="1"/>
  <c r="E83" i="1"/>
  <c r="E202" i="1"/>
  <c r="E32" i="1"/>
  <c r="E121" i="1"/>
  <c r="E84" i="1"/>
  <c r="E238" i="1"/>
  <c r="E227" i="1"/>
  <c r="E208" i="1"/>
  <c r="E277" i="1"/>
  <c r="E99" i="1"/>
  <c r="E257" i="1"/>
  <c r="E266" i="1"/>
  <c r="E351" i="1"/>
  <c r="E267" i="1"/>
  <c r="E352" i="1"/>
  <c r="E109" i="1"/>
  <c r="E203" i="1"/>
  <c r="E108" i="1"/>
  <c r="E20" i="1"/>
  <c r="E191" i="1"/>
  <c r="E282" i="1"/>
  <c r="E217" i="1"/>
  <c r="E338" i="1"/>
  <c r="E31" i="1"/>
  <c r="E106" i="1"/>
  <c r="E92" i="1"/>
  <c r="E134" i="1"/>
  <c r="E286" i="1"/>
  <c r="E335" i="1"/>
  <c r="E265" i="1"/>
  <c r="E196" i="1"/>
  <c r="E120" i="1"/>
  <c r="E188" i="1"/>
  <c r="E107" i="1"/>
  <c r="E229" i="1"/>
  <c r="E403" i="1"/>
  <c r="E446" i="1"/>
  <c r="E154" i="1"/>
  <c r="E42" i="1"/>
  <c r="E70" i="1"/>
  <c r="E349" i="1"/>
  <c r="E209" i="1"/>
  <c r="E463" i="1"/>
  <c r="E210" i="1"/>
  <c r="E464" i="1"/>
  <c r="E125" i="1"/>
  <c r="E185" i="1"/>
  <c r="E192" i="1"/>
  <c r="E477" i="1"/>
  <c r="E193" i="1"/>
  <c r="E100" i="1"/>
  <c r="E230" i="1"/>
  <c r="E73" i="1"/>
  <c r="E116" i="1"/>
  <c r="E485" i="1"/>
  <c r="E486" i="1"/>
  <c r="E247" i="1"/>
  <c r="E205" i="1"/>
  <c r="E110" i="1"/>
  <c r="E50" i="1"/>
  <c r="E162" i="1"/>
  <c r="E189" i="1"/>
  <c r="E305" i="1"/>
  <c r="E218" i="1"/>
  <c r="E339" i="1"/>
  <c r="E397" i="1"/>
  <c r="E204" i="1"/>
  <c r="E541" i="1"/>
  <c r="E118" i="1"/>
  <c r="E136" i="1"/>
  <c r="E226" i="1"/>
  <c r="E328" i="1"/>
  <c r="E239" i="1"/>
  <c r="E268" i="1"/>
  <c r="E353" i="1"/>
  <c r="E165" i="1"/>
  <c r="E290" i="1"/>
  <c r="E365" i="1"/>
  <c r="E250" i="1"/>
  <c r="E38" i="1"/>
  <c r="E132" i="1"/>
  <c r="E48" i="1"/>
  <c r="E138" i="1"/>
  <c r="E255" i="1"/>
  <c r="E383" i="1"/>
  <c r="E93" i="1"/>
  <c r="E329" i="1"/>
  <c r="E478" i="1"/>
  <c r="E81" i="1"/>
  <c r="E495" i="1"/>
  <c r="E85" i="1"/>
  <c r="E424" i="1"/>
  <c r="E518" i="1"/>
  <c r="E442" i="1"/>
  <c r="E508" i="1"/>
  <c r="E401" i="1"/>
  <c r="E474" i="1"/>
  <c r="E16" i="1"/>
  <c r="E469" i="1"/>
  <c r="E451" i="1"/>
  <c r="E127" i="1"/>
  <c r="E271" i="1"/>
  <c r="E22" i="1"/>
  <c r="E131" i="1"/>
  <c r="E86" i="1"/>
  <c r="E391" i="1"/>
  <c r="E378" i="1"/>
  <c r="E306" i="1"/>
  <c r="E509" i="1"/>
  <c r="E173" i="1"/>
  <c r="E537" i="1"/>
  <c r="E524" i="1"/>
  <c r="E549" i="1"/>
  <c r="E366" i="1"/>
  <c r="E408" i="1"/>
  <c r="E298" i="1"/>
  <c r="E343" i="1"/>
  <c r="E443" i="1"/>
  <c r="E367" i="1"/>
  <c r="E74" i="1"/>
  <c r="E117" i="1"/>
  <c r="E525" i="1"/>
  <c r="E550" i="1"/>
  <c r="E330" i="1"/>
  <c r="E402" i="1"/>
  <c r="E39" i="1"/>
  <c r="E409" i="1"/>
  <c r="E49" i="1"/>
  <c r="E139" i="1"/>
  <c r="E87" i="1"/>
  <c r="E569" i="1"/>
  <c r="E392" i="1"/>
  <c r="E398" i="1"/>
  <c r="E66" i="1"/>
  <c r="E240" i="1"/>
  <c r="E225" i="1"/>
  <c r="E542" i="1"/>
  <c r="E294" i="1"/>
  <c r="E368" i="1"/>
  <c r="E581" i="1"/>
  <c r="E553" i="1"/>
  <c r="E475" i="1"/>
  <c r="E315" i="1"/>
  <c r="E487" i="1"/>
  <c r="E582" i="1"/>
  <c r="E119" i="1"/>
  <c r="E242" i="1"/>
  <c r="E169" i="1"/>
  <c r="E296" i="1"/>
  <c r="E316" i="1"/>
  <c r="E178" i="1"/>
  <c r="E199" i="1"/>
  <c r="E504" i="1"/>
  <c r="E35" i="1"/>
  <c r="E179" i="1"/>
  <c r="E82" i="1"/>
  <c r="E344" i="1"/>
  <c r="E77" i="1"/>
  <c r="E36" i="1"/>
  <c r="E64" i="1"/>
  <c r="E241" i="1"/>
  <c r="E243" i="1"/>
  <c r="E448" i="1"/>
  <c r="E11" i="1"/>
  <c r="E37" i="1"/>
  <c r="E43" i="1"/>
  <c r="E244" i="1"/>
  <c r="E27" i="1"/>
  <c r="E317" i="1"/>
  <c r="E314" i="1"/>
  <c r="E552" i="1"/>
  <c r="E61" i="1"/>
  <c r="E415" i="1"/>
  <c r="E546" i="1"/>
  <c r="E399" i="1"/>
  <c r="E318" i="1"/>
  <c r="E143" i="1"/>
  <c r="E476" i="1"/>
  <c r="E115" i="1"/>
  <c r="E340" i="1"/>
  <c r="E493" i="1"/>
  <c r="E458" i="1"/>
  <c r="E551" i="1"/>
  <c r="E534" i="1"/>
  <c r="E370" i="1"/>
  <c r="E261" i="1"/>
  <c r="E372" i="1"/>
  <c r="E416" i="1"/>
  <c r="E450" i="1"/>
  <c r="E245" i="1"/>
  <c r="E133" i="1"/>
  <c r="E158" i="1"/>
  <c r="E427" i="1"/>
  <c r="E449" i="1"/>
  <c r="E426" i="1"/>
  <c r="E578" i="1"/>
  <c r="E511" i="1"/>
  <c r="E144" i="1"/>
  <c r="E438" i="1"/>
  <c r="E231" i="1"/>
  <c r="E9" i="1"/>
  <c r="E435" i="1"/>
  <c r="E596" i="1"/>
  <c r="E576" i="1"/>
  <c r="E8" i="1"/>
  <c r="E200" i="1"/>
  <c r="E89" i="1"/>
  <c r="E404" i="1"/>
  <c r="E201" i="1"/>
  <c r="E319" i="1"/>
  <c r="E354" i="1"/>
  <c r="E376" i="1"/>
  <c r="E417" i="1"/>
  <c r="E40" i="1"/>
  <c r="E68" i="1"/>
  <c r="E14" i="1"/>
  <c r="E41" i="1"/>
  <c r="E269" i="1"/>
  <c r="E137" i="1"/>
  <c r="E172" i="1"/>
  <c r="E304" i="1"/>
  <c r="E256" i="1"/>
  <c r="E384" i="1"/>
  <c r="E51" i="1"/>
  <c r="E324" i="1"/>
  <c r="E214" i="1"/>
  <c r="E262" i="1"/>
  <c r="E275" i="1"/>
  <c r="E215" i="1"/>
  <c r="E325" i="1"/>
  <c r="E129" i="1"/>
  <c r="E52" i="1"/>
  <c r="E174" i="1"/>
  <c r="E90" i="1"/>
  <c r="E170" i="1"/>
  <c r="E55" i="1"/>
  <c r="E130" i="1"/>
  <c r="E166" i="1"/>
  <c r="E428" i="1"/>
  <c r="E53" i="1"/>
  <c r="E175" i="1"/>
  <c r="E54" i="1"/>
  <c r="E80" i="1"/>
  <c r="E91" i="1"/>
  <c r="E176" i="1"/>
  <c r="E253" i="1"/>
  <c r="E491" i="1"/>
  <c r="E103" i="1"/>
  <c r="E445" i="1"/>
  <c r="E393" i="1"/>
  <c r="E181" i="1"/>
  <c r="E44" i="1"/>
  <c r="E182" i="1"/>
  <c r="E320" i="1"/>
  <c r="E436" i="1"/>
  <c r="E45" i="1"/>
  <c r="E183" i="1"/>
  <c r="E46" i="1"/>
  <c r="E148" i="1"/>
  <c r="E321" i="1"/>
  <c r="E563" i="1"/>
  <c r="E221" i="1"/>
  <c r="E288" i="1"/>
  <c r="E33" i="1"/>
  <c r="E122" i="1"/>
  <c r="E295" i="1"/>
  <c r="E274" i="1"/>
  <c r="E519" i="1"/>
  <c r="E184" i="1"/>
  <c r="E327" i="1"/>
  <c r="E470" i="1"/>
  <c r="E69" i="1"/>
  <c r="E167" i="1"/>
  <c r="E28" i="1"/>
  <c r="E159" i="1"/>
  <c r="E147" i="1"/>
  <c r="E283" i="1"/>
  <c r="E47" i="1"/>
  <c r="E104" i="1"/>
  <c r="E128" i="1"/>
  <c r="E213" i="1"/>
  <c r="E439" i="1"/>
  <c r="E497" i="1"/>
  <c r="E140" i="1"/>
  <c r="E222" i="1"/>
  <c r="E216" i="1"/>
  <c r="E160" i="1"/>
  <c r="E65" i="1"/>
  <c r="O395" i="1"/>
  <c r="O15" i="1"/>
  <c r="O284" i="1"/>
  <c r="O574" i="1"/>
  <c r="O149" i="1"/>
  <c r="O423" i="1"/>
  <c r="O72" i="1"/>
  <c r="O545" i="1"/>
  <c r="O197" i="1"/>
  <c r="O223" i="1"/>
  <c r="O499" i="1"/>
  <c r="O531" i="1"/>
  <c r="O535" i="1"/>
  <c r="O371" i="1"/>
  <c r="O375" i="1"/>
  <c r="O599" i="1"/>
  <c r="O529" i="1"/>
  <c r="O263" i="1"/>
  <c r="O603" i="1"/>
  <c r="O482" i="1"/>
  <c r="O526" i="1"/>
  <c r="O600" i="1"/>
  <c r="O512" i="1"/>
  <c r="O331" i="1"/>
  <c r="O259" i="1"/>
  <c r="O10" i="1"/>
  <c r="O528" i="1"/>
  <c r="O548" i="1"/>
  <c r="O307" i="1"/>
  <c r="O251" i="1"/>
  <c r="O471" i="1"/>
  <c r="O430" i="1"/>
  <c r="O437" i="1"/>
  <c r="O3" i="1"/>
  <c r="O515" i="1"/>
  <c r="O418" i="1"/>
  <c r="O301" i="1"/>
  <c r="O18" i="1"/>
  <c r="O595" i="1"/>
  <c r="O187" i="1"/>
  <c r="O521" i="1"/>
  <c r="O394" i="1"/>
  <c r="O501" i="1"/>
  <c r="O289" i="1"/>
  <c r="O270" i="1"/>
  <c r="O587" i="1"/>
  <c r="O407" i="1"/>
  <c r="O75" i="1"/>
  <c r="O293" i="1"/>
  <c r="O429" i="1"/>
  <c r="O601" i="1"/>
  <c r="O346" i="1"/>
  <c r="O517" i="1"/>
  <c r="O488" i="1"/>
  <c r="O466" i="1"/>
  <c r="O161" i="1"/>
  <c r="O538" i="1"/>
  <c r="O248" i="1"/>
  <c r="O234" i="1"/>
  <c r="O186" i="1"/>
  <c r="O278" i="1"/>
  <c r="O206" i="1"/>
  <c r="O571" i="1"/>
  <c r="O7" i="1"/>
  <c r="O522" i="1"/>
  <c r="O456" i="1"/>
  <c r="O510" i="1"/>
  <c r="O71" i="1"/>
  <c r="O291" i="1"/>
  <c r="O345" i="1"/>
  <c r="O457" i="1"/>
  <c r="O527" i="1"/>
  <c r="O380" i="1"/>
  <c r="O153" i="1"/>
  <c r="O25" i="1"/>
  <c r="O492" i="1"/>
  <c r="O312" i="1"/>
  <c r="O605" i="1"/>
  <c r="O13" i="1"/>
  <c r="O386" i="1"/>
  <c r="O396" i="1"/>
  <c r="O180" i="1"/>
  <c r="O489" i="1"/>
  <c r="O513" i="1"/>
  <c r="O141" i="1"/>
  <c r="O557" i="1"/>
  <c r="O472" i="1"/>
  <c r="O279" i="1"/>
  <c r="O97" i="1"/>
  <c r="O387" i="1"/>
  <c r="O362" i="1"/>
  <c r="O410" i="1"/>
  <c r="O579" i="1"/>
  <c r="O12" i="1"/>
  <c r="O555" i="1"/>
  <c r="O361" i="1"/>
  <c r="O592" i="1"/>
  <c r="O4" i="1"/>
  <c r="O431" i="1"/>
  <c r="O334" i="1"/>
  <c r="O414" i="1"/>
  <c r="O150" i="1"/>
  <c r="O544" i="1"/>
  <c r="O460" i="1"/>
  <c r="O420" i="1"/>
  <c r="O498" i="1"/>
  <c r="O76" i="1"/>
  <c r="O258" i="1"/>
  <c r="O151" i="1"/>
  <c r="O554" i="1"/>
  <c r="O337" i="1"/>
  <c r="O264" i="1"/>
  <c r="O300" i="1"/>
  <c r="O593" i="1"/>
  <c r="O523" i="1"/>
  <c r="O29" i="1"/>
  <c r="O503" i="1"/>
  <c r="O532" i="1"/>
  <c r="O355" i="1"/>
  <c r="O62" i="1"/>
  <c r="O468" i="1"/>
  <c r="O56" i="1"/>
  <c r="O502" i="1"/>
  <c r="O276" i="1"/>
  <c r="O594" i="1"/>
  <c r="O146" i="1"/>
  <c r="O235" i="1"/>
  <c r="O597" i="1"/>
  <c r="O577" i="1"/>
  <c r="O530" i="1"/>
  <c r="O308" i="1"/>
  <c r="O507" i="1"/>
  <c r="O539" i="1"/>
  <c r="O567" i="1"/>
  <c r="O309" i="1"/>
  <c r="O358" i="1"/>
  <c r="O455" i="1"/>
  <c r="O406" i="1"/>
  <c r="O34" i="1"/>
  <c r="O388" i="1"/>
  <c r="O198" i="1"/>
  <c r="O23" i="1"/>
  <c r="O152" i="1"/>
  <c r="O382" i="1"/>
  <c r="O313" i="1"/>
  <c r="O379" i="1"/>
  <c r="O459" i="1"/>
  <c r="O359" i="1"/>
  <c r="O142" i="1"/>
  <c r="O123" i="1"/>
  <c r="O105" i="1"/>
  <c r="O155" i="1"/>
  <c r="O413" i="1"/>
  <c r="O588" i="1"/>
  <c r="O168" i="1"/>
  <c r="O219" i="1"/>
  <c r="O246" i="1"/>
  <c r="O5" i="1"/>
  <c r="O236" i="1"/>
  <c r="O224" i="1"/>
  <c r="O26" i="1"/>
  <c r="O373" i="1"/>
  <c r="O559" i="1"/>
  <c r="O452" i="1"/>
  <c r="O207" i="1"/>
  <c r="O112" i="1"/>
  <c r="O389" i="1"/>
  <c r="O19" i="1"/>
  <c r="O483" i="1"/>
  <c r="O156" i="1"/>
  <c r="O101" i="1"/>
  <c r="O381" i="1"/>
  <c r="O467" i="1"/>
  <c r="O24" i="1"/>
  <c r="O465" i="1"/>
  <c r="O94" i="1"/>
  <c r="O608" i="1"/>
  <c r="O533" i="1"/>
  <c r="O385" i="1"/>
  <c r="O604" i="1"/>
  <c r="O568" i="1"/>
  <c r="O347" i="1"/>
  <c r="O561" i="1"/>
  <c r="O461" i="1"/>
  <c r="O591" i="1"/>
  <c r="O606" i="1"/>
  <c r="O505" i="1"/>
  <c r="O433" i="1"/>
  <c r="O411" i="1"/>
  <c r="O419" i="1"/>
  <c r="O145" i="1"/>
  <c r="O570" i="1"/>
  <c r="O584" i="1"/>
  <c r="O95" i="1"/>
  <c r="O333" i="1"/>
  <c r="O163" i="1"/>
  <c r="O598" i="1"/>
  <c r="O566" i="1"/>
  <c r="O490" i="1"/>
  <c r="O356" i="1"/>
  <c r="O462" i="1"/>
  <c r="O67" i="1"/>
  <c r="O540" i="1"/>
  <c r="O506" i="1"/>
  <c r="O126" i="1"/>
  <c r="O589" i="1"/>
  <c r="O57" i="1"/>
  <c r="O113" i="1"/>
  <c r="O575" i="1"/>
  <c r="O237" i="1"/>
  <c r="O564" i="1"/>
  <c r="O480" i="1"/>
  <c r="O441" i="1"/>
  <c r="O602" i="1"/>
  <c r="O565" i="1"/>
  <c r="O78" i="1"/>
  <c r="O556" i="1"/>
  <c r="O348" i="1"/>
  <c r="O363" i="1"/>
  <c r="O177" i="1"/>
  <c r="O516" i="1"/>
  <c r="O252" i="1"/>
  <c r="O547" i="1"/>
  <c r="O481" i="1"/>
  <c r="O30" i="1"/>
  <c r="O6" i="1"/>
  <c r="O369" i="1"/>
  <c r="O364" i="1"/>
  <c r="O194" i="1"/>
  <c r="O425" i="1"/>
  <c r="O586" i="1"/>
  <c r="O17" i="1"/>
  <c r="O58" i="1"/>
  <c r="O59" i="1"/>
  <c r="O88" i="1"/>
  <c r="O280" i="1"/>
  <c r="O454" i="1"/>
  <c r="O514" i="1"/>
  <c r="O607" i="1"/>
  <c r="O572" i="1"/>
  <c r="O299" i="1"/>
  <c r="O390" i="1"/>
  <c r="O281" i="1"/>
  <c r="O114" i="1"/>
  <c r="O583" i="1"/>
  <c r="O422" i="1"/>
  <c r="O543" i="1"/>
  <c r="O590" i="1"/>
  <c r="O332" i="1"/>
  <c r="O98" i="1"/>
  <c r="O260" i="1"/>
  <c r="O357" i="1"/>
  <c r="O2" i="1"/>
  <c r="O558" i="1"/>
  <c r="O342" i="1"/>
  <c r="O322" i="1"/>
  <c r="O63" i="1"/>
  <c r="O96" i="1"/>
  <c r="O79" i="1"/>
  <c r="O171" i="1"/>
  <c r="O211" i="1"/>
  <c r="O453" i="1"/>
  <c r="O585" i="1"/>
  <c r="O440" i="1"/>
  <c r="O562" i="1"/>
  <c r="O124" i="1"/>
  <c r="O341" i="1"/>
  <c r="O273" i="1"/>
  <c r="O560" i="1"/>
  <c r="O447" i="1"/>
  <c r="O421" i="1"/>
  <c r="O580" i="1"/>
  <c r="O412" i="1"/>
  <c r="O374" i="1"/>
  <c r="O405" i="1"/>
  <c r="O310" i="1"/>
  <c r="O479" i="1"/>
  <c r="O484" i="1"/>
  <c r="O573" i="1"/>
  <c r="O473" i="1"/>
  <c r="O272" i="1"/>
  <c r="O311" i="1"/>
  <c r="O434" i="1"/>
  <c r="O292" i="1"/>
  <c r="O432" i="1"/>
  <c r="O336" i="1"/>
  <c r="O302" i="1"/>
  <c r="O285" i="1"/>
  <c r="O500" i="1"/>
  <c r="O195" i="1"/>
  <c r="O135" i="1"/>
  <c r="O232" i="1"/>
  <c r="O212" i="1"/>
  <c r="O360" i="1"/>
  <c r="O102" i="1"/>
  <c r="O157" i="1"/>
  <c r="O303" i="1"/>
  <c r="O377" i="1"/>
  <c r="O190" i="1"/>
  <c r="O323" i="1"/>
  <c r="O249" i="1"/>
  <c r="O297" i="1"/>
  <c r="O164" i="1"/>
  <c r="O228" i="1"/>
  <c r="O496" i="1"/>
  <c r="O326" i="1"/>
  <c r="O254" i="1"/>
  <c r="O287" i="1"/>
  <c r="O220" i="1"/>
  <c r="O21" i="1"/>
  <c r="O60" i="1"/>
  <c r="O444" i="1"/>
  <c r="O536" i="1"/>
  <c r="O400" i="1"/>
  <c r="O494" i="1"/>
  <c r="O111" i="1"/>
  <c r="O520" i="1"/>
  <c r="O233" i="1"/>
  <c r="O350" i="1"/>
  <c r="O83" i="1"/>
  <c r="O202" i="1"/>
  <c r="O32" i="1"/>
  <c r="O121" i="1"/>
  <c r="O84" i="1"/>
  <c r="O238" i="1"/>
  <c r="O227" i="1"/>
  <c r="O208" i="1"/>
  <c r="O277" i="1"/>
  <c r="O99" i="1"/>
  <c r="O257" i="1"/>
  <c r="O266" i="1"/>
  <c r="O351" i="1"/>
  <c r="O267" i="1"/>
  <c r="O352" i="1"/>
  <c r="O109" i="1"/>
  <c r="O203" i="1"/>
  <c r="O108" i="1"/>
  <c r="O20" i="1"/>
  <c r="O191" i="1"/>
  <c r="O282" i="1"/>
  <c r="O217" i="1"/>
  <c r="O338" i="1"/>
  <c r="O31" i="1"/>
  <c r="O106" i="1"/>
  <c r="O92" i="1"/>
  <c r="O134" i="1"/>
  <c r="O286" i="1"/>
  <c r="O335" i="1"/>
  <c r="O265" i="1"/>
  <c r="O196" i="1"/>
  <c r="O120" i="1"/>
  <c r="O188" i="1"/>
  <c r="O107" i="1"/>
  <c r="O229" i="1"/>
  <c r="O403" i="1"/>
  <c r="O446" i="1"/>
  <c r="O154" i="1"/>
  <c r="O42" i="1"/>
  <c r="O70" i="1"/>
  <c r="O349" i="1"/>
  <c r="O209" i="1"/>
  <c r="O463" i="1"/>
  <c r="O210" i="1"/>
  <c r="O464" i="1"/>
  <c r="O125" i="1"/>
  <c r="O185" i="1"/>
  <c r="O192" i="1"/>
  <c r="O477" i="1"/>
  <c r="O193" i="1"/>
  <c r="O100" i="1"/>
  <c r="O230" i="1"/>
  <c r="O73" i="1"/>
  <c r="O116" i="1"/>
  <c r="O485" i="1"/>
  <c r="O486" i="1"/>
  <c r="O247" i="1"/>
  <c r="O205" i="1"/>
  <c r="O110" i="1"/>
  <c r="O50" i="1"/>
  <c r="O162" i="1"/>
  <c r="O189" i="1"/>
  <c r="O305" i="1"/>
  <c r="O218" i="1"/>
  <c r="O339" i="1"/>
  <c r="O397" i="1"/>
  <c r="O204" i="1"/>
  <c r="O541" i="1"/>
  <c r="O118" i="1"/>
  <c r="O136" i="1"/>
  <c r="O226" i="1"/>
  <c r="O328" i="1"/>
  <c r="O239" i="1"/>
  <c r="O268" i="1"/>
  <c r="O353" i="1"/>
  <c r="O165" i="1"/>
  <c r="O290" i="1"/>
  <c r="O365" i="1"/>
  <c r="O250" i="1"/>
  <c r="O38" i="1"/>
  <c r="O132" i="1"/>
  <c r="O48" i="1"/>
  <c r="O138" i="1"/>
  <c r="O255" i="1"/>
  <c r="O383" i="1"/>
  <c r="O93" i="1"/>
  <c r="O329" i="1"/>
  <c r="O478" i="1"/>
  <c r="O81" i="1"/>
  <c r="O495" i="1"/>
  <c r="O85" i="1"/>
  <c r="O424" i="1"/>
  <c r="O518" i="1"/>
  <c r="O442" i="1"/>
  <c r="O508" i="1"/>
  <c r="O401" i="1"/>
  <c r="O474" i="1"/>
  <c r="O16" i="1"/>
  <c r="O469" i="1"/>
  <c r="O451" i="1"/>
  <c r="O127" i="1"/>
  <c r="O271" i="1"/>
  <c r="O22" i="1"/>
  <c r="O131" i="1"/>
  <c r="O86" i="1"/>
  <c r="O391" i="1"/>
  <c r="O378" i="1"/>
  <c r="O306" i="1"/>
  <c r="O509" i="1"/>
  <c r="O173" i="1"/>
  <c r="O537" i="1"/>
  <c r="O524" i="1"/>
  <c r="O549" i="1"/>
  <c r="O366" i="1"/>
  <c r="O408" i="1"/>
  <c r="O298" i="1"/>
  <c r="O343" i="1"/>
  <c r="O443" i="1"/>
  <c r="O367" i="1"/>
  <c r="O74" i="1"/>
  <c r="O117" i="1"/>
  <c r="O525" i="1"/>
  <c r="O550" i="1"/>
  <c r="O330" i="1"/>
  <c r="O402" i="1"/>
  <c r="O39" i="1"/>
  <c r="O409" i="1"/>
  <c r="O49" i="1"/>
  <c r="O139" i="1"/>
  <c r="O87" i="1"/>
  <c r="O569" i="1"/>
  <c r="O392" i="1"/>
  <c r="O398" i="1"/>
  <c r="O66" i="1"/>
  <c r="O240" i="1"/>
  <c r="O225" i="1"/>
  <c r="O542" i="1"/>
  <c r="O294" i="1"/>
  <c r="O368" i="1"/>
  <c r="O581" i="1"/>
  <c r="O553" i="1"/>
  <c r="O475" i="1"/>
  <c r="O315" i="1"/>
  <c r="O487" i="1"/>
  <c r="O582" i="1"/>
  <c r="O119" i="1"/>
  <c r="O242" i="1"/>
  <c r="O169" i="1"/>
  <c r="O296" i="1"/>
  <c r="O316" i="1"/>
  <c r="O178" i="1"/>
  <c r="O199" i="1"/>
  <c r="O504" i="1"/>
  <c r="O35" i="1"/>
  <c r="O179" i="1"/>
  <c r="O82" i="1"/>
  <c r="O344" i="1"/>
  <c r="O77" i="1"/>
  <c r="O36" i="1"/>
  <c r="O64" i="1"/>
  <c r="O241" i="1"/>
  <c r="O243" i="1"/>
  <c r="O448" i="1"/>
  <c r="O11" i="1"/>
  <c r="O37" i="1"/>
  <c r="O43" i="1"/>
  <c r="O244" i="1"/>
  <c r="O27" i="1"/>
  <c r="O317" i="1"/>
  <c r="O314" i="1"/>
  <c r="O552" i="1"/>
  <c r="O61" i="1"/>
  <c r="O415" i="1"/>
  <c r="O546" i="1"/>
  <c r="O399" i="1"/>
  <c r="O318" i="1"/>
  <c r="O143" i="1"/>
  <c r="O476" i="1"/>
  <c r="O115" i="1"/>
  <c r="O340" i="1"/>
  <c r="O493" i="1"/>
  <c r="O458" i="1"/>
  <c r="O551" i="1"/>
  <c r="O534" i="1"/>
  <c r="O370" i="1"/>
  <c r="O261" i="1"/>
  <c r="O372" i="1"/>
  <c r="O416" i="1"/>
  <c r="O450" i="1"/>
  <c r="O245" i="1"/>
  <c r="O133" i="1"/>
  <c r="O158" i="1"/>
  <c r="O427" i="1"/>
  <c r="O449" i="1"/>
  <c r="O426" i="1"/>
  <c r="O578" i="1"/>
  <c r="O511" i="1"/>
  <c r="O144" i="1"/>
  <c r="O438" i="1"/>
  <c r="O231" i="1"/>
  <c r="O9" i="1"/>
  <c r="O435" i="1"/>
  <c r="O596" i="1"/>
  <c r="O576" i="1"/>
  <c r="O8" i="1"/>
  <c r="O200" i="1"/>
  <c r="O89" i="1"/>
  <c r="O404" i="1"/>
  <c r="O201" i="1"/>
  <c r="O319" i="1"/>
  <c r="O354" i="1"/>
  <c r="O376" i="1"/>
  <c r="O417" i="1"/>
  <c r="O40" i="1"/>
  <c r="O68" i="1"/>
  <c r="O14" i="1"/>
  <c r="O41" i="1"/>
  <c r="O269" i="1"/>
  <c r="O137" i="1"/>
  <c r="O172" i="1"/>
  <c r="O304" i="1"/>
  <c r="O256" i="1"/>
  <c r="O384" i="1"/>
  <c r="O51" i="1"/>
  <c r="O324" i="1"/>
  <c r="O214" i="1"/>
  <c r="O262" i="1"/>
  <c r="O275" i="1"/>
  <c r="O215" i="1"/>
  <c r="O325" i="1"/>
  <c r="O129" i="1"/>
  <c r="O52" i="1"/>
  <c r="O174" i="1"/>
  <c r="O90" i="1"/>
  <c r="O170" i="1"/>
  <c r="O55" i="1"/>
  <c r="O130" i="1"/>
  <c r="O166" i="1"/>
  <c r="O428" i="1"/>
  <c r="O53" i="1"/>
  <c r="O175" i="1"/>
  <c r="O54" i="1"/>
  <c r="O80" i="1"/>
  <c r="O91" i="1"/>
  <c r="O176" i="1"/>
  <c r="O253" i="1"/>
  <c r="O491" i="1"/>
  <c r="O103" i="1"/>
  <c r="O445" i="1"/>
  <c r="O393" i="1"/>
  <c r="O181" i="1"/>
  <c r="O44" i="1"/>
  <c r="O182" i="1"/>
  <c r="O320" i="1"/>
  <c r="O436" i="1"/>
  <c r="O45" i="1"/>
  <c r="O183" i="1"/>
  <c r="O46" i="1"/>
  <c r="O148" i="1"/>
  <c r="O321" i="1"/>
  <c r="O563" i="1"/>
  <c r="O221" i="1"/>
  <c r="O288" i="1"/>
  <c r="O33" i="1"/>
  <c r="O122" i="1"/>
  <c r="O295" i="1"/>
  <c r="O274" i="1"/>
  <c r="O519" i="1"/>
  <c r="O184" i="1"/>
  <c r="O327" i="1"/>
  <c r="O470" i="1"/>
  <c r="O69" i="1"/>
  <c r="O167" i="1"/>
  <c r="O28" i="1"/>
  <c r="O159" i="1"/>
  <c r="O147" i="1"/>
  <c r="O283" i="1"/>
  <c r="O47" i="1"/>
  <c r="O104" i="1"/>
  <c r="O128" i="1"/>
  <c r="O213" i="1"/>
  <c r="O439" i="1"/>
  <c r="O497" i="1"/>
  <c r="O140" i="1"/>
  <c r="O222" i="1"/>
  <c r="O216" i="1"/>
  <c r="O160" i="1"/>
  <c r="O65" i="1"/>
  <c r="C395" i="1"/>
  <c r="C15" i="1"/>
  <c r="C284" i="1"/>
  <c r="C574" i="1"/>
  <c r="C149" i="1"/>
  <c r="C423" i="1"/>
  <c r="C72" i="1"/>
  <c r="C545" i="1"/>
  <c r="C197" i="1"/>
  <c r="C223" i="1"/>
  <c r="C499" i="1"/>
  <c r="C531" i="1"/>
  <c r="C535" i="1"/>
  <c r="C371" i="1"/>
  <c r="C375" i="1"/>
  <c r="C599" i="1"/>
  <c r="C529" i="1"/>
  <c r="C263" i="1"/>
  <c r="C603" i="1"/>
  <c r="C482" i="1"/>
  <c r="C526" i="1"/>
  <c r="C600" i="1"/>
  <c r="C512" i="1"/>
  <c r="C331" i="1"/>
  <c r="C259" i="1"/>
  <c r="C10" i="1"/>
  <c r="C528" i="1"/>
  <c r="C548" i="1"/>
  <c r="C307" i="1"/>
  <c r="C251" i="1"/>
  <c r="C471" i="1"/>
  <c r="C430" i="1"/>
  <c r="C437" i="1"/>
  <c r="C3" i="1"/>
  <c r="C515" i="1"/>
  <c r="C418" i="1"/>
  <c r="C301" i="1"/>
  <c r="C18" i="1"/>
  <c r="C595" i="1"/>
  <c r="C187" i="1"/>
  <c r="C521" i="1"/>
  <c r="C394" i="1"/>
  <c r="C501" i="1"/>
  <c r="C289" i="1"/>
  <c r="C270" i="1"/>
  <c r="C587" i="1"/>
  <c r="C407" i="1"/>
  <c r="C75" i="1"/>
  <c r="C293" i="1"/>
  <c r="C429" i="1"/>
  <c r="C601" i="1"/>
  <c r="C346" i="1"/>
  <c r="C517" i="1"/>
  <c r="C488" i="1"/>
  <c r="C466" i="1"/>
  <c r="C161" i="1"/>
  <c r="C538" i="1"/>
  <c r="C248" i="1"/>
  <c r="C234" i="1"/>
  <c r="C186" i="1"/>
  <c r="C278" i="1"/>
  <c r="C206" i="1"/>
  <c r="C571" i="1"/>
  <c r="C7" i="1"/>
  <c r="C522" i="1"/>
  <c r="C456" i="1"/>
  <c r="C510" i="1"/>
  <c r="C71" i="1"/>
  <c r="C291" i="1"/>
  <c r="C345" i="1"/>
  <c r="C457" i="1"/>
  <c r="C527" i="1"/>
  <c r="C380" i="1"/>
  <c r="C153" i="1"/>
  <c r="C25" i="1"/>
  <c r="C492" i="1"/>
  <c r="C312" i="1"/>
  <c r="C605" i="1"/>
  <c r="C13" i="1"/>
  <c r="C386" i="1"/>
  <c r="C396" i="1"/>
  <c r="C180" i="1"/>
  <c r="C489" i="1"/>
  <c r="C513" i="1"/>
  <c r="C141" i="1"/>
  <c r="C557" i="1"/>
  <c r="C472" i="1"/>
  <c r="C279" i="1"/>
  <c r="C97" i="1"/>
  <c r="C387" i="1"/>
  <c r="C362" i="1"/>
  <c r="C410" i="1"/>
  <c r="C579" i="1"/>
  <c r="C12" i="1"/>
  <c r="C555" i="1"/>
  <c r="C361" i="1"/>
  <c r="C592" i="1"/>
  <c r="C4" i="1"/>
  <c r="C431" i="1"/>
  <c r="C334" i="1"/>
  <c r="C414" i="1"/>
  <c r="C150" i="1"/>
  <c r="C544" i="1"/>
  <c r="C460" i="1"/>
  <c r="C420" i="1"/>
  <c r="C498" i="1"/>
  <c r="C76" i="1"/>
  <c r="C258" i="1"/>
  <c r="C151" i="1"/>
  <c r="C554" i="1"/>
  <c r="C337" i="1"/>
  <c r="C264" i="1"/>
  <c r="C300" i="1"/>
  <c r="C593" i="1"/>
  <c r="C523" i="1"/>
  <c r="C29" i="1"/>
  <c r="C503" i="1"/>
  <c r="C532" i="1"/>
  <c r="C355" i="1"/>
  <c r="C62" i="1"/>
  <c r="C468" i="1"/>
  <c r="C56" i="1"/>
  <c r="C502" i="1"/>
  <c r="C276" i="1"/>
  <c r="C594" i="1"/>
  <c r="C146" i="1"/>
  <c r="C235" i="1"/>
  <c r="C597" i="1"/>
  <c r="C577" i="1"/>
  <c r="C530" i="1"/>
  <c r="C308" i="1"/>
  <c r="C507" i="1"/>
  <c r="C539" i="1"/>
  <c r="C567" i="1"/>
  <c r="C309" i="1"/>
  <c r="C358" i="1"/>
  <c r="C455" i="1"/>
  <c r="C406" i="1"/>
  <c r="C34" i="1"/>
  <c r="C388" i="1"/>
  <c r="C198" i="1"/>
  <c r="C23" i="1"/>
  <c r="C152" i="1"/>
  <c r="C382" i="1"/>
  <c r="C313" i="1"/>
  <c r="C379" i="1"/>
  <c r="C459" i="1"/>
  <c r="C359" i="1"/>
  <c r="C142" i="1"/>
  <c r="C123" i="1"/>
  <c r="C105" i="1"/>
  <c r="C155" i="1"/>
  <c r="C413" i="1"/>
  <c r="C588" i="1"/>
  <c r="C168" i="1"/>
  <c r="C219" i="1"/>
  <c r="C246" i="1"/>
  <c r="C5" i="1"/>
  <c r="C236" i="1"/>
  <c r="C224" i="1"/>
  <c r="C26" i="1"/>
  <c r="C373" i="1"/>
  <c r="C559" i="1"/>
  <c r="C452" i="1"/>
  <c r="C207" i="1"/>
  <c r="C112" i="1"/>
  <c r="C389" i="1"/>
  <c r="C19" i="1"/>
  <c r="C483" i="1"/>
  <c r="C156" i="1"/>
  <c r="C101" i="1"/>
  <c r="C381" i="1"/>
  <c r="C467" i="1"/>
  <c r="C24" i="1"/>
  <c r="C465" i="1"/>
  <c r="C94" i="1"/>
  <c r="C608" i="1"/>
  <c r="C533" i="1"/>
  <c r="C385" i="1"/>
  <c r="C604" i="1"/>
  <c r="C568" i="1"/>
  <c r="C347" i="1"/>
  <c r="C561" i="1"/>
  <c r="C461" i="1"/>
  <c r="C591" i="1"/>
  <c r="C606" i="1"/>
  <c r="C505" i="1"/>
  <c r="C433" i="1"/>
  <c r="C411" i="1"/>
  <c r="C419" i="1"/>
  <c r="C145" i="1"/>
  <c r="C570" i="1"/>
  <c r="C584" i="1"/>
  <c r="C95" i="1"/>
  <c r="C333" i="1"/>
  <c r="C163" i="1"/>
  <c r="C598" i="1"/>
  <c r="C566" i="1"/>
  <c r="C490" i="1"/>
  <c r="C356" i="1"/>
  <c r="C462" i="1"/>
  <c r="C67" i="1"/>
  <c r="C540" i="1"/>
  <c r="C506" i="1"/>
  <c r="C126" i="1"/>
  <c r="C589" i="1"/>
  <c r="C57" i="1"/>
  <c r="C113" i="1"/>
  <c r="C575" i="1"/>
  <c r="C237" i="1"/>
  <c r="C564" i="1"/>
  <c r="C480" i="1"/>
  <c r="C441" i="1"/>
  <c r="C602" i="1"/>
  <c r="C565" i="1"/>
  <c r="C78" i="1"/>
  <c r="C556" i="1"/>
  <c r="C348" i="1"/>
  <c r="C363" i="1"/>
  <c r="C177" i="1"/>
  <c r="C516" i="1"/>
  <c r="C252" i="1"/>
  <c r="C547" i="1"/>
  <c r="C481" i="1"/>
  <c r="C30" i="1"/>
  <c r="C6" i="1"/>
  <c r="C369" i="1"/>
  <c r="C364" i="1"/>
  <c r="C194" i="1"/>
  <c r="C425" i="1"/>
  <c r="C586" i="1"/>
  <c r="C17" i="1"/>
  <c r="C58" i="1"/>
  <c r="C59" i="1"/>
  <c r="C88" i="1"/>
  <c r="C280" i="1"/>
  <c r="C454" i="1"/>
  <c r="C514" i="1"/>
  <c r="C607" i="1"/>
  <c r="C572" i="1"/>
  <c r="C299" i="1"/>
  <c r="C390" i="1"/>
  <c r="C281" i="1"/>
  <c r="C114" i="1"/>
  <c r="C583" i="1"/>
  <c r="C422" i="1"/>
  <c r="C543" i="1"/>
  <c r="C590" i="1"/>
  <c r="C332" i="1"/>
  <c r="C98" i="1"/>
  <c r="C260" i="1"/>
  <c r="C357" i="1"/>
  <c r="C2" i="1"/>
  <c r="C558" i="1"/>
  <c r="C342" i="1"/>
  <c r="C322" i="1"/>
  <c r="C63" i="1"/>
  <c r="C96" i="1"/>
  <c r="C79" i="1"/>
  <c r="C171" i="1"/>
  <c r="C211" i="1"/>
  <c r="C453" i="1"/>
  <c r="C585" i="1"/>
  <c r="C440" i="1"/>
  <c r="C562" i="1"/>
  <c r="C124" i="1"/>
  <c r="C341" i="1"/>
  <c r="C273" i="1"/>
  <c r="C560" i="1"/>
  <c r="C447" i="1"/>
  <c r="C421" i="1"/>
  <c r="C580" i="1"/>
  <c r="C412" i="1"/>
  <c r="C374" i="1"/>
  <c r="C405" i="1"/>
  <c r="C310" i="1"/>
  <c r="C479" i="1"/>
  <c r="C484" i="1"/>
  <c r="C573" i="1"/>
  <c r="C473" i="1"/>
  <c r="C272" i="1"/>
  <c r="C311" i="1"/>
  <c r="C434" i="1"/>
  <c r="C292" i="1"/>
  <c r="C432" i="1"/>
  <c r="C336" i="1"/>
  <c r="C302" i="1"/>
  <c r="C285" i="1"/>
  <c r="C500" i="1"/>
  <c r="C195" i="1"/>
  <c r="C135" i="1"/>
  <c r="C232" i="1"/>
  <c r="C212" i="1"/>
  <c r="C360" i="1"/>
  <c r="C102" i="1"/>
  <c r="C157" i="1"/>
  <c r="C303" i="1"/>
  <c r="C377" i="1"/>
  <c r="C190" i="1"/>
  <c r="C323" i="1"/>
  <c r="C249" i="1"/>
  <c r="C297" i="1"/>
  <c r="C164" i="1"/>
  <c r="C228" i="1"/>
  <c r="C496" i="1"/>
  <c r="C326" i="1"/>
  <c r="C254" i="1"/>
  <c r="C287" i="1"/>
  <c r="C220" i="1"/>
  <c r="C21" i="1"/>
  <c r="C60" i="1"/>
  <c r="C444" i="1"/>
  <c r="C536" i="1"/>
  <c r="C400" i="1"/>
  <c r="C494" i="1"/>
  <c r="C111" i="1"/>
  <c r="C520" i="1"/>
  <c r="C233" i="1"/>
  <c r="C350" i="1"/>
  <c r="C83" i="1"/>
  <c r="C202" i="1"/>
  <c r="C32" i="1"/>
  <c r="C121" i="1"/>
  <c r="C84" i="1"/>
  <c r="C238" i="1"/>
  <c r="C227" i="1"/>
  <c r="C208" i="1"/>
  <c r="C277" i="1"/>
  <c r="C99" i="1"/>
  <c r="C257" i="1"/>
  <c r="C266" i="1"/>
  <c r="C351" i="1"/>
  <c r="C267" i="1"/>
  <c r="C352" i="1"/>
  <c r="C109" i="1"/>
  <c r="C203" i="1"/>
  <c r="C108" i="1"/>
  <c r="C20" i="1"/>
  <c r="C191" i="1"/>
  <c r="C282" i="1"/>
  <c r="C217" i="1"/>
  <c r="C338" i="1"/>
  <c r="C31" i="1"/>
  <c r="C106" i="1"/>
  <c r="C92" i="1"/>
  <c r="C134" i="1"/>
  <c r="C286" i="1"/>
  <c r="C335" i="1"/>
  <c r="C265" i="1"/>
  <c r="C196" i="1"/>
  <c r="C120" i="1"/>
  <c r="C188" i="1"/>
  <c r="C107" i="1"/>
  <c r="C229" i="1"/>
  <c r="C403" i="1"/>
  <c r="C446" i="1"/>
  <c r="C154" i="1"/>
  <c r="C42" i="1"/>
  <c r="C70" i="1"/>
  <c r="C349" i="1"/>
  <c r="C209" i="1"/>
  <c r="C463" i="1"/>
  <c r="C210" i="1"/>
  <c r="C464" i="1"/>
  <c r="C125" i="1"/>
  <c r="C185" i="1"/>
  <c r="C192" i="1"/>
  <c r="C477" i="1"/>
  <c r="C193" i="1"/>
  <c r="C100" i="1"/>
  <c r="C230" i="1"/>
  <c r="C73" i="1"/>
  <c r="C116" i="1"/>
  <c r="C485" i="1"/>
  <c r="C486" i="1"/>
  <c r="C247" i="1"/>
  <c r="C205" i="1"/>
  <c r="C110" i="1"/>
  <c r="C50" i="1"/>
  <c r="C162" i="1"/>
  <c r="C189" i="1"/>
  <c r="C305" i="1"/>
  <c r="C218" i="1"/>
  <c r="C339" i="1"/>
  <c r="C397" i="1"/>
  <c r="C204" i="1"/>
  <c r="C541" i="1"/>
  <c r="C118" i="1"/>
  <c r="C136" i="1"/>
  <c r="C226" i="1"/>
  <c r="C328" i="1"/>
  <c r="C239" i="1"/>
  <c r="C268" i="1"/>
  <c r="C353" i="1"/>
  <c r="C165" i="1"/>
  <c r="C290" i="1"/>
  <c r="C365" i="1"/>
  <c r="C250" i="1"/>
  <c r="C38" i="1"/>
  <c r="C132" i="1"/>
  <c r="C48" i="1"/>
  <c r="C138" i="1"/>
  <c r="C255" i="1"/>
  <c r="C383" i="1"/>
  <c r="C93" i="1"/>
  <c r="C329" i="1"/>
  <c r="C478" i="1"/>
  <c r="C81" i="1"/>
  <c r="C495" i="1"/>
  <c r="C85" i="1"/>
  <c r="C424" i="1"/>
  <c r="C518" i="1"/>
  <c r="C442" i="1"/>
  <c r="C508" i="1"/>
  <c r="C401" i="1"/>
  <c r="C474" i="1"/>
  <c r="C16" i="1"/>
  <c r="C469" i="1"/>
  <c r="C451" i="1"/>
  <c r="C127" i="1"/>
  <c r="C271" i="1"/>
  <c r="C22" i="1"/>
  <c r="C131" i="1"/>
  <c r="C86" i="1"/>
  <c r="C391" i="1"/>
  <c r="C378" i="1"/>
  <c r="C306" i="1"/>
  <c r="C509" i="1"/>
  <c r="C173" i="1"/>
  <c r="C537" i="1"/>
  <c r="C524" i="1"/>
  <c r="C549" i="1"/>
  <c r="C366" i="1"/>
  <c r="C408" i="1"/>
  <c r="C298" i="1"/>
  <c r="C343" i="1"/>
  <c r="C443" i="1"/>
  <c r="C367" i="1"/>
  <c r="C74" i="1"/>
  <c r="C117" i="1"/>
  <c r="C525" i="1"/>
  <c r="C550" i="1"/>
  <c r="C330" i="1"/>
  <c r="C402" i="1"/>
  <c r="C39" i="1"/>
  <c r="C409" i="1"/>
  <c r="C49" i="1"/>
  <c r="C139" i="1"/>
  <c r="C87" i="1"/>
  <c r="C569" i="1"/>
  <c r="C392" i="1"/>
  <c r="C398" i="1"/>
  <c r="C66" i="1"/>
  <c r="C240" i="1"/>
  <c r="C225" i="1"/>
  <c r="C542" i="1"/>
  <c r="C294" i="1"/>
  <c r="C368" i="1"/>
  <c r="C581" i="1"/>
  <c r="C553" i="1"/>
  <c r="C475" i="1"/>
  <c r="C315" i="1"/>
  <c r="C487" i="1"/>
  <c r="C582" i="1"/>
  <c r="C119" i="1"/>
  <c r="C242" i="1"/>
  <c r="C169" i="1"/>
  <c r="C296" i="1"/>
  <c r="C316" i="1"/>
  <c r="C178" i="1"/>
  <c r="C199" i="1"/>
  <c r="C504" i="1"/>
  <c r="C35" i="1"/>
  <c r="C179" i="1"/>
  <c r="C82" i="1"/>
  <c r="C344" i="1"/>
  <c r="C77" i="1"/>
  <c r="C36" i="1"/>
  <c r="C64" i="1"/>
  <c r="C241" i="1"/>
  <c r="C243" i="1"/>
  <c r="C448" i="1"/>
  <c r="C11" i="1"/>
  <c r="C37" i="1"/>
  <c r="C43" i="1"/>
  <c r="C244" i="1"/>
  <c r="C27" i="1"/>
  <c r="C317" i="1"/>
  <c r="C314" i="1"/>
  <c r="C552" i="1"/>
  <c r="C61" i="1"/>
  <c r="C415" i="1"/>
  <c r="C546" i="1"/>
  <c r="C399" i="1"/>
  <c r="C318" i="1"/>
  <c r="C143" i="1"/>
  <c r="C476" i="1"/>
  <c r="C115" i="1"/>
  <c r="C340" i="1"/>
  <c r="C493" i="1"/>
  <c r="C458" i="1"/>
  <c r="C551" i="1"/>
  <c r="C534" i="1"/>
  <c r="C370" i="1"/>
  <c r="C261" i="1"/>
  <c r="C372" i="1"/>
  <c r="C416" i="1"/>
  <c r="C450" i="1"/>
  <c r="C245" i="1"/>
  <c r="C133" i="1"/>
  <c r="C158" i="1"/>
  <c r="C427" i="1"/>
  <c r="C449" i="1"/>
  <c r="C426" i="1"/>
  <c r="C578" i="1"/>
  <c r="C511" i="1"/>
  <c r="C144" i="1"/>
  <c r="C438" i="1"/>
  <c r="C231" i="1"/>
  <c r="C9" i="1"/>
  <c r="C435" i="1"/>
  <c r="C596" i="1"/>
  <c r="C576" i="1"/>
  <c r="C8" i="1"/>
  <c r="C200" i="1"/>
  <c r="C89" i="1"/>
  <c r="C404" i="1"/>
  <c r="C201" i="1"/>
  <c r="C319" i="1"/>
  <c r="C354" i="1"/>
  <c r="C376" i="1"/>
  <c r="C417" i="1"/>
  <c r="C40" i="1"/>
  <c r="C68" i="1"/>
  <c r="C14" i="1"/>
  <c r="C41" i="1"/>
  <c r="C269" i="1"/>
  <c r="C137" i="1"/>
  <c r="C172" i="1"/>
  <c r="C304" i="1"/>
  <c r="C256" i="1"/>
  <c r="C384" i="1"/>
  <c r="C51" i="1"/>
  <c r="C324" i="1"/>
  <c r="C214" i="1"/>
  <c r="C262" i="1"/>
  <c r="C275" i="1"/>
  <c r="C215" i="1"/>
  <c r="C325" i="1"/>
  <c r="C129" i="1"/>
  <c r="C52" i="1"/>
  <c r="C174" i="1"/>
  <c r="C90" i="1"/>
  <c r="C170" i="1"/>
  <c r="C55" i="1"/>
  <c r="C130" i="1"/>
  <c r="C166" i="1"/>
  <c r="C428" i="1"/>
  <c r="C53" i="1"/>
  <c r="C175" i="1"/>
  <c r="C54" i="1"/>
  <c r="C80" i="1"/>
  <c r="C91" i="1"/>
  <c r="C176" i="1"/>
  <c r="C253" i="1"/>
  <c r="C491" i="1"/>
  <c r="C103" i="1"/>
  <c r="C445" i="1"/>
  <c r="C393" i="1"/>
  <c r="C181" i="1"/>
  <c r="C44" i="1"/>
  <c r="C182" i="1"/>
  <c r="C320" i="1"/>
  <c r="C436" i="1"/>
  <c r="C45" i="1"/>
  <c r="C183" i="1"/>
  <c r="C46" i="1"/>
  <c r="C148" i="1"/>
  <c r="C321" i="1"/>
  <c r="C563" i="1"/>
  <c r="C221" i="1"/>
  <c r="C288" i="1"/>
  <c r="C33" i="1"/>
  <c r="C122" i="1"/>
  <c r="C295" i="1"/>
  <c r="C274" i="1"/>
  <c r="C519" i="1"/>
  <c r="C184" i="1"/>
  <c r="C327" i="1"/>
  <c r="C470" i="1"/>
  <c r="C69" i="1"/>
  <c r="C167" i="1"/>
  <c r="C28" i="1"/>
  <c r="C159" i="1"/>
  <c r="C147" i="1"/>
  <c r="C283" i="1"/>
  <c r="C47" i="1"/>
  <c r="C104" i="1"/>
  <c r="C128" i="1"/>
  <c r="C213" i="1"/>
  <c r="C439" i="1"/>
  <c r="C497" i="1"/>
  <c r="C140" i="1"/>
  <c r="C222" i="1"/>
  <c r="C216" i="1"/>
  <c r="C160" i="1"/>
  <c r="C65" i="1"/>
  <c r="S29" i="1" l="1" a="1"/>
  <c r="S29" i="1" s="1"/>
  <c r="R29" i="1" a="1"/>
  <c r="R29" i="1" s="1"/>
  <c r="S28" i="1" a="1"/>
  <c r="S28" i="1" s="1"/>
  <c r="R28" i="1" a="1"/>
  <c r="R28" i="1" s="1"/>
  <c r="S30" i="1" a="1"/>
  <c r="S30" i="1" s="1"/>
  <c r="R30" i="1" a="1"/>
  <c r="R30" i="1" s="1"/>
  <c r="S21" i="1" a="1"/>
  <c r="S21" i="1" s="1"/>
  <c r="S22" i="1" a="1"/>
  <c r="S22" i="1" s="1"/>
  <c r="R24" i="1" a="1"/>
  <c r="R24" i="1" s="1"/>
  <c r="S24" i="1" a="1"/>
  <c r="S24" i="1" s="1"/>
  <c r="R21" i="1" a="1"/>
  <c r="R21" i="1" s="1"/>
  <c r="R23" i="1" a="1"/>
  <c r="R23" i="1" s="1"/>
  <c r="S23" i="1" a="1"/>
  <c r="S23" i="1" s="1"/>
  <c r="R22" i="1" a="1"/>
  <c r="R22" i="1" s="1"/>
</calcChain>
</file>

<file path=xl/sharedStrings.xml><?xml version="1.0" encoding="utf-8"?>
<sst xmlns="http://schemas.openxmlformats.org/spreadsheetml/2006/main" count="11277" uniqueCount="221">
  <si>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</si>
  <si>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</si>
  <si>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</si>
  <si>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</si>
  <si>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</si>
  <si>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</si>
  <si>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</si>
  <si>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</si>
  <si>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</si>
  <si>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</si>
  <si>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</si>
  <si>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</si>
  <si>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</si>
  <si>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</si>
  <si>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</si>
  <si>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</si>
  <si>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</si>
  <si>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</si>
  <si>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</si>
  <si>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</si>
  <si>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</si>
  <si>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</si>
  <si>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</si>
  <si>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</si>
  <si>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</si>
  <si>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</si>
  <si>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</si>
  <si>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</si>
  <si>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</si>
  <si>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</si>
  <si>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</si>
  <si>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</si>
  <si>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</si>
  <si>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</si>
  <si>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</si>
  <si>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</si>
  <si>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</si>
  <si>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</si>
  <si>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</si>
  <si>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</si>
  <si>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</si>
  <si>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</si>
  <si>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</si>
  <si>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</si>
  <si>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</si>
  <si>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</si>
  <si>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</si>
  <si>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</si>
  <si>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</si>
  <si>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</si>
  <si>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</si>
  <si>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</si>
  <si>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</si>
  <si>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</si>
  <si>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</si>
  <si>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</si>
  <si>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</si>
  <si>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</si>
  <si>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</si>
  <si>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</si>
  <si>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</si>
  <si>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</si>
  <si>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</si>
  <si>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</si>
  <si>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</si>
  <si>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</si>
  <si>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</si>
  <si>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</si>
  <si>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</si>
  <si>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</si>
  <si>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</si>
  <si>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</si>
  <si>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</si>
  <si>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</si>
  <si>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</si>
  <si>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</si>
  <si>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</si>
  <si>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</si>
  <si>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</si>
  <si>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</si>
  <si>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</si>
  <si>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</si>
  <si>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</si>
  <si>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</si>
  <si>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</si>
  <si>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</si>
  <si>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</si>
  <si>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</si>
  <si>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</si>
  <si>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</si>
  <si>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</si>
  <si>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</si>
  <si>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</si>
  <si>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</si>
  <si>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</si>
  <si>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</si>
  <si>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</si>
  <si>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</si>
  <si>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</si>
  <si>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</si>
  <si>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</si>
  <si>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</si>
  <si>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</si>
  <si>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</si>
  <si>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</si>
  <si>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</si>
  <si>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</si>
  <si>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</si>
  <si>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</si>
  <si>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</si>
  <si>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</si>
  <si>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</si>
  <si>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</si>
  <si>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</si>
  <si>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</si>
  <si>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</si>
  <si>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</si>
  <si>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</si>
  <si>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</si>
  <si>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</si>
  <si>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</si>
  <si>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</si>
  <si>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</si>
  <si>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</si>
  <si>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</si>
  <si>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</si>
  <si>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</si>
  <si>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</si>
  <si>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</si>
  <si>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</si>
  <si>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</si>
  <si>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</si>
  <si>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</si>
  <si>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</si>
  <si>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</si>
  <si>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</si>
  <si>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</si>
  <si>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</si>
  <si>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</si>
  <si>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</si>
  <si>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</si>
  <si>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</si>
  <si>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</si>
  <si>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</si>
  <si>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</si>
  <si>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</si>
  <si>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</si>
  <si>
    <t>Column</t>
  </si>
  <si>
    <t>Description</t>
  </si>
  <si>
    <t>The year the salary was paid.</t>
  </si>
  <si>
    <t>The experience level in the job during the year with the following possible values: EN Entry-level / Junior MI Mid-level / Intermediate SE Senior-level / Expert EX Executive-level / Director</t>
  </si>
  <si>
    <t>The type of employement for the role: PT Part-time FT Full-time CT Contract FL Freelance</t>
  </si>
  <si>
    <t>The role worked in during the year.</t>
  </si>
  <si>
    <t>The total gross salary amount paid.</t>
  </si>
  <si>
    <t>The currency of the salary paid as an ISO 4217 currency code.</t>
  </si>
  <si>
    <r>
      <t>salary</t>
    </r>
    <r>
      <rPr>
        <i/>
        <sz val="11"/>
        <color theme="1"/>
        <rFont val="Inherit"/>
      </rPr>
      <t>in</t>
    </r>
    <r>
      <rPr>
        <sz val="11"/>
        <color theme="1"/>
        <rFont val="Inherit"/>
      </rPr>
      <t>usd</t>
    </r>
  </si>
  <si>
    <t>The salary in USD (FX rate divided by avg. USD rate for the respective year via fxdata.foorilla.com).</t>
  </si>
  <si>
    <t>Employee's primary country of residence in during the work year as an ISO 3166 country code.</t>
  </si>
  <si>
    <t>The overall amount of work done remotely, possible values are as follows: 0 No remote work (less than 20%) 50 Partially remote 100 Fully remote (more than 80%)</t>
  </si>
  <si>
    <t>The country of the employer's main office or contracting branch as an ISO 3166 country code.</t>
  </si>
  <si>
    <t>The average number of people that worked for the company during the year: S less than 50 employees (small) M 50 to 250 employees (medium) L more than 250 employees (large)</t>
  </si>
  <si>
    <t>Ex level</t>
  </si>
  <si>
    <t>Ex level FF</t>
  </si>
  <si>
    <t>Junior</t>
  </si>
  <si>
    <t>Intermediate</t>
  </si>
  <si>
    <t>Director</t>
  </si>
  <si>
    <t>Column1</t>
  </si>
  <si>
    <t>Size</t>
  </si>
  <si>
    <t>FF</t>
  </si>
  <si>
    <t>Small</t>
  </si>
  <si>
    <t>Medium</t>
  </si>
  <si>
    <t>Large</t>
  </si>
  <si>
    <t>Experience</t>
  </si>
  <si>
    <t>Senior</t>
  </si>
  <si>
    <t>Emp Type</t>
  </si>
  <si>
    <t>Type</t>
  </si>
  <si>
    <t>Part Time</t>
  </si>
  <si>
    <t>Full Time</t>
  </si>
  <si>
    <t>Contract</t>
  </si>
  <si>
    <t>Freelance</t>
  </si>
  <si>
    <t>EmpType</t>
  </si>
  <si>
    <t>Row Labels</t>
  </si>
  <si>
    <t>Sum of salary_in_usd</t>
  </si>
  <si>
    <t>Average of salary_in_usd</t>
  </si>
  <si>
    <t>Max Salary</t>
  </si>
  <si>
    <t>Min Salary</t>
  </si>
  <si>
    <t>size</t>
  </si>
  <si>
    <t>Column Labels</t>
  </si>
  <si>
    <t>Max of salary_in_usd</t>
  </si>
  <si>
    <t>Min of salary_in_usd</t>
  </si>
  <si>
    <t>For US only</t>
  </si>
  <si>
    <t>only 2 rows</t>
  </si>
  <si>
    <t>Worldwide</t>
  </si>
  <si>
    <t>Average Salary</t>
  </si>
  <si>
    <t>Minimum Salary</t>
  </si>
  <si>
    <t>Maximum Salary</t>
  </si>
  <si>
    <t>In US</t>
  </si>
  <si>
    <t xml:space="preserve"> </t>
  </si>
  <si>
    <t>Count of salary_in_usd</t>
  </si>
  <si>
    <t>Others</t>
  </si>
  <si>
    <t>Job Title</t>
  </si>
  <si>
    <t>Count</t>
  </si>
  <si>
    <t>Count of salary_in_usd2</t>
  </si>
  <si>
    <t>Average of salary_in_usd2</t>
  </si>
  <si>
    <t>Company Size</t>
  </si>
  <si>
    <t>Sum of salary</t>
  </si>
  <si>
    <t>Avg of salary</t>
  </si>
  <si>
    <t>Data Scientist Salary Analysis</t>
  </si>
  <si>
    <t>Average salary as per the experience level</t>
  </si>
  <si>
    <t xml:space="preserve">- Average salary of Medium size companies is almost similar to large companies, while Medium size companies seem to have more opportunities. </t>
  </si>
  <si>
    <t xml:space="preserve">It's evident from these visualizations that, employees working on contract basis earn more than even a full-time employee. </t>
  </si>
  <si>
    <t>*Data acquired from Kaggle.com</t>
  </si>
  <si>
    <t>*Currency unit is USD.</t>
  </si>
  <si>
    <t>Hybrid</t>
  </si>
  <si>
    <t>In Office</t>
  </si>
  <si>
    <t>Remote</t>
  </si>
  <si>
    <t>Work Type</t>
  </si>
  <si>
    <t>Avg Salary</t>
  </si>
  <si>
    <t xml:space="preserve">-Surprisingly, employees working from homes are getting paid more than employees working in office. While, employees working in hybrid model are paid the least.                                                     </t>
  </si>
  <si>
    <t>- So it will be wise to look for Medium size companies while applying, since you can get high compensation for less competition.</t>
  </si>
  <si>
    <t>Data Engineer, Data Scientist and Data Analyst are the                                      most frequently used titles in Data Science field. These                             three contribute around 70% of all job titles.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</si>
</sst>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Inherit"/>
    </font>
    <font>
      <sz val="11"/>
      <color theme="1"/>
      <name val="Inherit"/>
    </font>
    <font>
      <i/>
      <sz val="11"/>
      <color theme="1"/>
      <name val="Inherit"/>
    </font>
    <font>
      <sz val="11"/>
      <color theme="1"/>
      <name val="Bookman Old Style"/>
      <family val="1"/>
    </font>
    <font>
      <b/>
      <sz val="11"/>
      <color theme="5" tint="-0.499984740745262"/>
      <name val="Bookman Old Style"/>
      <family val="1"/>
    </font>
    <font>
      <sz val="14"/>
      <color theme="5" tint="-0.499984740745262"/>
      <name val="Bookman Old Style"/>
      <family val="1"/>
    </font>
    <font>
      <sz val="14"/>
      <color theme="1"/>
      <name val="Bookman Old Style"/>
      <family val="1"/>
    </font>
    <font>
      <sz val="16"/>
      <color theme="5" tint="-0.499984740745262"/>
      <name val="Bookman Old Style"/>
      <family val="1"/>
    </font>
    <font>
      <sz val="16"/>
      <color theme="1"/>
      <name val="Bookman Old Style"/>
      <family val="1"/>
    </font>
    <font>
      <sz val="11"/>
      <name val="Bookman Old Style"/>
      <family val="1"/>
    </font>
    <font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sz val="48"/>
      <color theme="5" tint="-0.499984740745262"/>
      <name val="Bookman Old Style"/>
      <family val="1"/>
    </font>
    <font>
      <b/>
      <sz val="14"/>
      <color theme="5" tint="-0.499984740745262"/>
      <name val="Bookman Old Style"/>
      <family val="1"/>
    </font>
    <font>
      <b/>
      <sz val="12"/>
      <color theme="5" tint="-0.499984740745262"/>
      <name val="Bookman Old Style"/>
      <family val="1"/>
    </font>
    <font>
      <b/>
      <sz val="12"/>
      <color theme="1"/>
      <name val="Bookman Old Style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DFE0"/>
      </left>
      <right style="medium">
        <color rgb="FFDEDFE0"/>
      </right>
      <top style="medium">
        <color rgb="FFDEDFE0"/>
      </top>
      <bottom style="medium">
        <color rgb="FFDEDFE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18" fillId="34" borderId="10" xfId="0" applyFont="1" applyFill="1" applyBorder="1" applyAlignment="1">
      <alignment horizontal="left" vertical="center"/>
    </xf>
    <xf numFmtId="0" fontId="19" fillId="33" borderId="10" xfId="0" applyFont="1" applyFill="1" applyBorder="1" applyAlignment="1">
      <alignment vertical="top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1" applyNumberFormat="1" applyFont="1" applyAlignment="1"/>
    <xf numFmtId="0" fontId="21" fillId="0" borderId="0" xfId="0" applyFont="1"/>
    <xf numFmtId="0" fontId="21" fillId="0" borderId="0" xfId="0" applyFont="1" applyAlignment="1"/>
    <xf numFmtId="0" fontId="21" fillId="35" borderId="0" xfId="0" applyFont="1" applyFill="1"/>
    <xf numFmtId="0" fontId="23" fillId="35" borderId="0" xfId="0" applyFont="1" applyFill="1" applyAlignment="1">
      <alignment horizontal="center"/>
    </xf>
    <xf numFmtId="165" fontId="23" fillId="35" borderId="0" xfId="2" applyNumberFormat="1" applyFont="1" applyFill="1"/>
    <xf numFmtId="0" fontId="24" fillId="0" borderId="0" xfId="0" applyFont="1"/>
    <xf numFmtId="0" fontId="27" fillId="36" borderId="0" xfId="0" applyFont="1" applyFill="1"/>
    <xf numFmtId="0" fontId="22" fillId="36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26" fillId="0" borderId="0" xfId="0" quotePrefix="1" applyFont="1" applyAlignment="1">
      <alignment wrapText="1"/>
    </xf>
    <xf numFmtId="0" fontId="32" fillId="35" borderId="0" xfId="0" applyFont="1" applyFill="1" applyAlignment="1">
      <alignment horizontal="center"/>
    </xf>
    <xf numFmtId="0" fontId="33" fillId="35" borderId="0" xfId="0" applyFont="1" applyFill="1" applyAlignment="1">
      <alignment horizontal="left" indent="2"/>
    </xf>
    <xf numFmtId="165" fontId="28" fillId="0" borderId="0" xfId="2" applyNumberFormat="1" applyFont="1"/>
    <xf numFmtId="0" fontId="26" fillId="35" borderId="0" xfId="0" quotePrefix="1" applyFont="1" applyFill="1" applyAlignment="1">
      <alignment vertical="center" wrapText="1"/>
    </xf>
    <xf numFmtId="0" fontId="24" fillId="35" borderId="0" xfId="0" quotePrefix="1" applyFont="1" applyFill="1" applyAlignment="1">
      <alignment vertical="center" wrapText="1"/>
    </xf>
    <xf numFmtId="0" fontId="26" fillId="35" borderId="0" xfId="0" applyFont="1" applyFill="1" applyAlignment="1">
      <alignment wrapText="1"/>
    </xf>
    <xf numFmtId="0" fontId="25" fillId="35" borderId="0" xfId="0" applyFont="1" applyFill="1" applyAlignment="1">
      <alignment horizontal="center"/>
    </xf>
    <xf numFmtId="0" fontId="24" fillId="35" borderId="0" xfId="0" quotePrefix="1" applyFont="1" applyFill="1" applyAlignment="1">
      <alignment horizontal="center" vertical="center"/>
    </xf>
    <xf numFmtId="0" fontId="31" fillId="35" borderId="0" xfId="0" applyFont="1" applyFill="1" applyAlignment="1">
      <alignment horizontal="center"/>
    </xf>
    <xf numFmtId="0" fontId="30" fillId="35" borderId="0" xfId="0" applyFont="1" applyFill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77">
    <dxf>
      <numFmt numFmtId="164" formatCode="_(* #,##0_);_(* \(#,##0\);_(* &quot;-&quot;??_);_(@_)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8" formatCode="0.0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7" formatCode="_(* #,##0.000_);_(* \(#,##0.000\);_(* &quot;-&quot;??_);_(@_)"/>
    </dxf>
    <dxf>
      <numFmt numFmtId="35" formatCode="_(* #,##0.00_);_(* \(#,##0.00\);_(* &quot;-&quot;??_);_(@_)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8" formatCode="0.0"/>
    </dxf>
    <dxf>
      <numFmt numFmtId="2" formatCode="0.00"/>
    </dxf>
    <dxf>
      <numFmt numFmtId="169" formatCode="0.000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8" formatCode="0.0"/>
    </dxf>
    <dxf>
      <numFmt numFmtId="2" formatCode="0.00"/>
    </dxf>
    <dxf>
      <numFmt numFmtId="169" formatCode="0.000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8" formatCode="0.0"/>
    </dxf>
    <dxf>
      <numFmt numFmtId="2" formatCode="0.00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7" formatCode="_(* #,##0.000_);_(* \(#,##0.000\);_(* &quot;-&quot;??_);_(@_)"/>
    </dxf>
    <dxf>
      <numFmt numFmtId="35" formatCode="_(* #,##0.00_);_(* \(#,##0.00\);_(* &quot;-&quot;??_);_(@_)"/>
    </dxf>
    <dxf>
      <numFmt numFmtId="2" formatCode="0.0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Min of salary_in_usd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Pivot!$A$3:$A$6</c:f>
              <c:strCache>
                <c:ptCount val="4"/>
                <c:pt idx="0">
                  <c:v>Junior</c:v>
                </c:pt>
                <c:pt idx="1">
                  <c:v>Intermediate</c:v>
                </c:pt>
                <c:pt idx="2">
                  <c:v>Senior</c:v>
                </c:pt>
                <c:pt idx="3">
                  <c:v>Director</c:v>
                </c:pt>
              </c:strCache>
            </c:strRef>
          </c:cat>
          <c:val>
            <c:numRef>
              <c:f>Pivot!$B$3:$B$6</c:f>
              <c:numCache>
                <c:formatCode>_(* #,##0_);_(* \(#,##0\);_(* "-"??_);_(@_)</c:formatCode>
                <c:ptCount val="4"/>
                <c:pt idx="0">
                  <c:v>4000</c:v>
                </c:pt>
                <c:pt idx="1">
                  <c:v>2859</c:v>
                </c:pt>
                <c:pt idx="2">
                  <c:v>18907</c:v>
                </c:pt>
                <c:pt idx="3">
                  <c:v>69741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D-4311-84A8-5C3B01D039CD}"/>
            </c:ext>
          </c:extLst>
        </c:ser>
        <c:ser>
          <c:idx val="1"/>
          <c:order val="1"/>
          <c:tx>
            <c:strRef>
              <c:f>Pivot!$C$2</c:f>
              <c:strCache>
                <c:ptCount val="1"/>
                <c:pt idx="0">
                  <c:v>Average of salary_in_usd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Pivot!$A$3:$A$6</c:f>
              <c:strCache>
                <c:ptCount val="4"/>
                <c:pt idx="0">
                  <c:v>Junior</c:v>
                </c:pt>
                <c:pt idx="1">
                  <c:v>Intermediate</c:v>
                </c:pt>
                <c:pt idx="2">
                  <c:v>Senior</c:v>
                </c:pt>
                <c:pt idx="3">
                  <c:v>Director</c:v>
                </c:pt>
              </c:strCache>
            </c:strRef>
          </c:cat>
          <c:val>
            <c:numRef>
              <c:f>Pivot!$C$3:$C$6</c:f>
              <c:numCache>
                <c:formatCode>_(* #,##0_);_(* \(#,##0\);_(* "-"??_);_(@_)</c:formatCode>
                <c:ptCount val="4"/>
                <c:pt idx="0">
                  <c:v>61643.318181818184</c:v>
                </c:pt>
                <c:pt idx="1">
                  <c:v>87996.056338028167</c:v>
                </c:pt>
                <c:pt idx="2">
                  <c:v>138617.29285714286</c:v>
                </c:pt>
                <c:pt idx="3">
                  <c:v>199392.03846153847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D-4311-84A8-5C3B01D039CD}"/>
            </c:ext>
          </c:extLst>
        </c:ser>
        <c:ser>
          <c:idx val="2"/>
          <c:order val="2"/>
          <c:tx>
            <c:strRef>
              <c:f>Pivot!$D$2</c:f>
              <c:strCache>
                <c:ptCount val="1"/>
                <c:pt idx="0">
                  <c:v>Max of salary_in_usd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Pivot!$A$3:$A$6</c:f>
              <c:strCache>
                <c:ptCount val="4"/>
                <c:pt idx="0">
                  <c:v>Junior</c:v>
                </c:pt>
                <c:pt idx="1">
                  <c:v>Intermediate</c:v>
                </c:pt>
                <c:pt idx="2">
                  <c:v>Senior</c:v>
                </c:pt>
                <c:pt idx="3">
                  <c:v>Director</c:v>
                </c:pt>
              </c:strCache>
            </c:strRef>
          </c:cat>
          <c:val>
            <c:numRef>
              <c:f>Pivot!$D$3:$D$6</c:f>
              <c:numCache>
                <c:formatCode>_(* #,##0_);_(* \(#,##0\);_(* "-"??_);_(@_)</c:formatCode>
                <c:ptCount val="4"/>
                <c:pt idx="0">
                  <c:v>250000</c:v>
                </c:pt>
                <c:pt idx="1">
                  <c:v>450000</c:v>
                </c:pt>
                <c:pt idx="2">
                  <c:v>412000</c:v>
                </c:pt>
                <c:pt idx="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D-4311-84A8-5C3B01D0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69520"/>
        <c:axId val="691072016"/>
      </c:barChart>
      <c:catAx>
        <c:axId val="6910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72016"/>
        <c:crosses val="autoZero"/>
        <c:auto val="1"/>
        <c:lblAlgn val="ctr"/>
        <c:lblOffset val="100"/>
        <c:noMultiLvlLbl val="0"/>
      </c:catAx>
      <c:valAx>
        <c:axId val="6910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Min of salary_in_usd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Pivot!$A$17:$A$19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Pivot!$B$17:$B$19</c:f>
              <c:numCache>
                <c:formatCode>_(* #,##0_);_(* \(#,##0\);_(* "-"??_);_(@_)</c:formatCode>
                <c:ptCount val="3"/>
                <c:pt idx="0">
                  <c:v>2859</c:v>
                </c:pt>
                <c:pt idx="1">
                  <c:v>4000</c:v>
                </c:pt>
                <c:pt idx="2">
                  <c:v>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B-4C4B-93DE-744D6382FF27}"/>
            </c:ext>
          </c:extLst>
        </c:ser>
        <c:ser>
          <c:idx val="1"/>
          <c:order val="1"/>
          <c:tx>
            <c:strRef>
              <c:f>Pivot!$C$16</c:f>
              <c:strCache>
                <c:ptCount val="1"/>
                <c:pt idx="0">
                  <c:v>Average of salary_in_usd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Pivot!$A$17:$A$19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Pivot!$C$17:$C$19</c:f>
              <c:numCache>
                <c:formatCode>_(* #,##0_);_(* \(#,##0\);_(* "-"??_);_(@_)</c:formatCode>
                <c:ptCount val="3"/>
                <c:pt idx="0">
                  <c:v>77632.674698795177</c:v>
                </c:pt>
                <c:pt idx="1">
                  <c:v>116905.46625766871</c:v>
                </c:pt>
                <c:pt idx="2">
                  <c:v>119242.99494949495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B-4C4B-93DE-744D6382FF27}"/>
            </c:ext>
          </c:extLst>
        </c:ser>
        <c:ser>
          <c:idx val="2"/>
          <c:order val="2"/>
          <c:tx>
            <c:strRef>
              <c:f>Pivot!$D$16</c:f>
              <c:strCache>
                <c:ptCount val="1"/>
                <c:pt idx="0">
                  <c:v>Max of salary_in_usd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Pivot!$A$17:$A$19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Pivot!$D$17:$D$19</c:f>
              <c:numCache>
                <c:formatCode>_(* #,##0_);_(* \(#,##0\);_(* "-"??_);_(@_)</c:formatCode>
                <c:ptCount val="3"/>
                <c:pt idx="0">
                  <c:v>416000</c:v>
                </c:pt>
                <c:pt idx="1">
                  <c:v>450000</c:v>
                </c:pt>
                <c:pt idx="2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B-4C4B-93DE-744D6382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437712"/>
        <c:axId val="688438128"/>
      </c:barChart>
      <c:catAx>
        <c:axId val="6884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8128"/>
        <c:crosses val="autoZero"/>
        <c:auto val="1"/>
        <c:lblAlgn val="ctr"/>
        <c:lblOffset val="100"/>
        <c:noMultiLvlLbl val="0"/>
      </c:catAx>
      <c:valAx>
        <c:axId val="6884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Pivot!$B$23:$B$24</c:f>
              <c:strCache>
                <c:ptCount val="1"/>
                <c:pt idx="0">
                  <c:v>Junior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Pivot!$B$25:$B$28</c:f>
              <c:numCache>
                <c:formatCode>_(* #,##0_);_(* \(#,##0\);_(* "-"??_);_(@_)</c:formatCode>
                <c:ptCount val="4"/>
                <c:pt idx="1">
                  <c:v>28656.857142857141</c:v>
                </c:pt>
                <c:pt idx="2">
                  <c:v>65937.5</c:v>
                </c:pt>
                <c:pt idx="3">
                  <c:v>64457.455696202531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3-4EFA-BAD5-6C9F3D11619A}"/>
            </c:ext>
          </c:extLst>
        </c:ser>
        <c:ser>
          <c:idx val="1"/>
          <c:order val="1"/>
          <c:tx>
            <c:strRef>
              <c:f>Pivot!$C$23:$C$24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Pivot!$C$25:$C$28</c:f>
              <c:numCache>
                <c:formatCode>_(* #,##0_);_(* \(#,##0\);_(* "-"??_);_(@_)</c:formatCode>
                <c:ptCount val="4"/>
                <c:pt idx="0">
                  <c:v>44000</c:v>
                </c:pt>
                <c:pt idx="1">
                  <c:v>43369</c:v>
                </c:pt>
                <c:pt idx="2">
                  <c:v>270000</c:v>
                </c:pt>
                <c:pt idx="3">
                  <c:v>88403.169902912618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3-4EFA-BAD5-6C9F3D11619A}"/>
            </c:ext>
          </c:extLst>
        </c:ser>
        <c:ser>
          <c:idx val="2"/>
          <c:order val="2"/>
          <c:tx>
            <c:strRef>
              <c:f>Pivot!$D$23:$D$24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Pivot!$D$25:$D$28</c:f>
              <c:numCache>
                <c:formatCode>_(* #,##0_);_(* \(#,##0\);_(* "-"??_);_(@_)</c:formatCode>
                <c:ptCount val="4"/>
                <c:pt idx="0">
                  <c:v>60000</c:v>
                </c:pt>
                <c:pt idx="2">
                  <c:v>105000</c:v>
                </c:pt>
                <c:pt idx="3">
                  <c:v>139021.01438848922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73-4EFA-BAD5-6C9F3D11619A}"/>
            </c:ext>
          </c:extLst>
        </c:ser>
        <c:ser>
          <c:idx val="3"/>
          <c:order val="3"/>
          <c:tx>
            <c:strRef>
              <c:f>Pivot!$E$23:$E$24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Pivot!$E$25:$E$28</c:f>
              <c:numCache>
                <c:formatCode>_(* #,##0_);_(* \(#,##0\);_(* "-"??_);_(@_)</c:formatCode>
                <c:ptCount val="4"/>
                <c:pt idx="2">
                  <c:v>416000</c:v>
                </c:pt>
                <c:pt idx="3">
                  <c:v>190727.72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73-4EFA-BAD5-6C9F3D116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868832"/>
        <c:axId val="798870912"/>
      </c:barChart>
      <c:catAx>
        <c:axId val="7988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70912"/>
        <c:crosses val="autoZero"/>
        <c:auto val="1"/>
        <c:lblAlgn val="ctr"/>
        <c:lblOffset val="100"/>
        <c:noMultiLvlLbl val="0"/>
      </c:catAx>
      <c:valAx>
        <c:axId val="7988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Pivot!$B$41</c:f>
              <c:strCache>
                <c:ptCount val="1"/>
                <c:pt idx="0">
                  <c:v>Min of salary_in_usd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Pivot!$A$42:$A$45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Pivot!$B$42:$B$45</c:f>
              <c:numCache>
                <c:formatCode>_(* #,##0_);_(* \(#,##0\);_(* "-"??_);_(@_)</c:formatCode>
                <c:ptCount val="4"/>
                <c:pt idx="0">
                  <c:v>20000</c:v>
                </c:pt>
                <c:pt idx="1">
                  <c:v>12000</c:v>
                </c:pt>
                <c:pt idx="2">
                  <c:v>100000</c:v>
                </c:pt>
                <c:pt idx="3">
                  <c:v>5679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C-4AEA-B577-220966507B0A}"/>
            </c:ext>
          </c:extLst>
        </c:ser>
        <c:ser>
          <c:idx val="1"/>
          <c:order val="1"/>
          <c:tx>
            <c:strRef>
              <c:f>Pivot!$C$41</c:f>
              <c:strCache>
                <c:ptCount val="1"/>
                <c:pt idx="0">
                  <c:v>Average of salary_in_usd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Pivot!$A$42:$A$45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Pivot!$C$42:$C$45</c:f>
              <c:numCache>
                <c:formatCode>_(* #,##0_);_(* \(#,##0\);_(* "-"??_);_(@_)</c:formatCode>
                <c:ptCount val="4"/>
                <c:pt idx="0">
                  <c:v>60000</c:v>
                </c:pt>
                <c:pt idx="1">
                  <c:v>12000</c:v>
                </c:pt>
                <c:pt idx="2">
                  <c:v>222750</c:v>
                </c:pt>
                <c:pt idx="3">
                  <c:v>144637.62427745663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C-4AEA-B577-220966507B0A}"/>
            </c:ext>
          </c:extLst>
        </c:ser>
        <c:ser>
          <c:idx val="2"/>
          <c:order val="2"/>
          <c:tx>
            <c:strRef>
              <c:f>Pivot!$D$41</c:f>
              <c:strCache>
                <c:ptCount val="1"/>
                <c:pt idx="0">
                  <c:v>Max of salary_in_usd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Pivot!$A$42:$A$45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Pivot!$D$42:$D$45</c:f>
              <c:numCache>
                <c:formatCode>_(* #,##0_);_(* \(#,##0\);_(* "-"??_);_(@_)</c:formatCode>
                <c:ptCount val="4"/>
                <c:pt idx="0">
                  <c:v>100000</c:v>
                </c:pt>
                <c:pt idx="1">
                  <c:v>12000</c:v>
                </c:pt>
                <c:pt idx="2">
                  <c:v>416000</c:v>
                </c:pt>
                <c:pt idx="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C-4AEA-B577-22096650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67024"/>
        <c:axId val="691077008"/>
      </c:barChart>
      <c:catAx>
        <c:axId val="6910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77008"/>
        <c:crosses val="autoZero"/>
        <c:auto val="1"/>
        <c:lblAlgn val="ctr"/>
        <c:lblOffset val="100"/>
        <c:noMultiLvlLbl val="0"/>
      </c:catAx>
      <c:valAx>
        <c:axId val="6910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6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Pivot!$B$48</c:f>
              <c:strCache>
                <c:ptCount val="1"/>
                <c:pt idx="0">
                  <c:v>Min of salary_in_usd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Pivot!$A$49:$A$52</c:f>
              <c:strCache>
                <c:ptCount val="4"/>
                <c:pt idx="0">
                  <c:v>Junior</c:v>
                </c:pt>
                <c:pt idx="1">
                  <c:v>Senior</c:v>
                </c:pt>
                <c:pt idx="2">
                  <c:v>Intermediate</c:v>
                </c:pt>
                <c:pt idx="3">
                  <c:v>Director</c:v>
                </c:pt>
              </c:strCache>
            </c:strRef>
          </c:cat>
          <c:val>
            <c:numRef>
              <c:f>Pivot!$B$49:$B$52</c:f>
              <c:numCache>
                <c:formatCode>_(* #,##0_);_(* \(#,##0\);_(* "-"??_);_(@_)</c:formatCode>
                <c:ptCount val="4"/>
                <c:pt idx="0">
                  <c:v>12000</c:v>
                </c:pt>
                <c:pt idx="1">
                  <c:v>25000</c:v>
                </c:pt>
                <c:pt idx="2">
                  <c:v>5679</c:v>
                </c:pt>
                <c:pt idx="3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9-4272-ABEC-2B66133C3827}"/>
            </c:ext>
          </c:extLst>
        </c:ser>
        <c:ser>
          <c:idx val="1"/>
          <c:order val="1"/>
          <c:tx>
            <c:strRef>
              <c:f>Pivot!$C$48</c:f>
              <c:strCache>
                <c:ptCount val="1"/>
                <c:pt idx="0">
                  <c:v>Average of salary_in_usd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Pivot!$A$49:$A$52</c:f>
              <c:strCache>
                <c:ptCount val="4"/>
                <c:pt idx="0">
                  <c:v>Junior</c:v>
                </c:pt>
                <c:pt idx="1">
                  <c:v>Senior</c:v>
                </c:pt>
                <c:pt idx="2">
                  <c:v>Intermediate</c:v>
                </c:pt>
                <c:pt idx="3">
                  <c:v>Director</c:v>
                </c:pt>
              </c:strCache>
            </c:strRef>
          </c:cat>
          <c:val>
            <c:numRef>
              <c:f>Pivot!$C$49:$C$52</c:f>
              <c:numCache>
                <c:formatCode>_(* #,##0_);_(* \(#,##0\);_(* "-"??_);_(@_)</c:formatCode>
                <c:ptCount val="4"/>
                <c:pt idx="0">
                  <c:v>93112.903225806454</c:v>
                </c:pt>
                <c:pt idx="1">
                  <c:v>151527.63302752294</c:v>
                </c:pt>
                <c:pt idx="2">
                  <c:v>125780.21111111112</c:v>
                </c:pt>
                <c:pt idx="3">
                  <c:v>243742.1875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9-4272-ABEC-2B66133C3827}"/>
            </c:ext>
          </c:extLst>
        </c:ser>
        <c:ser>
          <c:idx val="2"/>
          <c:order val="2"/>
          <c:tx>
            <c:strRef>
              <c:f>Pivot!$D$48</c:f>
              <c:strCache>
                <c:ptCount val="1"/>
                <c:pt idx="0">
                  <c:v>Max of salary_in_usd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Pivot!$A$49:$A$52</c:f>
              <c:strCache>
                <c:ptCount val="4"/>
                <c:pt idx="0">
                  <c:v>Junior</c:v>
                </c:pt>
                <c:pt idx="1">
                  <c:v>Senior</c:v>
                </c:pt>
                <c:pt idx="2">
                  <c:v>Intermediate</c:v>
                </c:pt>
                <c:pt idx="3">
                  <c:v>Director</c:v>
                </c:pt>
              </c:strCache>
            </c:strRef>
          </c:cat>
          <c:val>
            <c:numRef>
              <c:f>Pivot!$D$49:$D$52</c:f>
              <c:numCache>
                <c:formatCode>_(* #,##0_);_(* \(#,##0\);_(* "-"??_);_(@_)</c:formatCode>
                <c:ptCount val="4"/>
                <c:pt idx="0">
                  <c:v>250000</c:v>
                </c:pt>
                <c:pt idx="1">
                  <c:v>412000</c:v>
                </c:pt>
                <c:pt idx="2">
                  <c:v>450000</c:v>
                </c:pt>
                <c:pt idx="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19-4272-ABEC-2B66133C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437296"/>
        <c:axId val="688436048"/>
      </c:barChart>
      <c:catAx>
        <c:axId val="6884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6048"/>
        <c:crosses val="autoZero"/>
        <c:auto val="1"/>
        <c:lblAlgn val="ctr"/>
        <c:lblOffset val="100"/>
        <c:noMultiLvlLbl val="0"/>
      </c:catAx>
      <c:valAx>
        <c:axId val="6884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Pivot!$B$68</c:f>
              <c:strCache>
                <c:ptCount val="1"/>
                <c:pt idx="0">
                  <c:v>Worldwide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Pivot!$A$69:$A$71</c:f>
              <c:strCache>
                <c:ptCount val="3"/>
                <c:pt idx="0">
                  <c:v>Minimum Salary</c:v>
                </c:pt>
                <c:pt idx="1">
                  <c:v>Average Salary</c:v>
                </c:pt>
                <c:pt idx="2">
                  <c:v>Maximum Salary</c:v>
                </c:pt>
              </c:strCache>
            </c:strRef>
          </c:cat>
          <c:val>
            <c:numRef>
              <c:f>Pivot!$B$69:$B$71</c:f>
              <c:numCache>
                <c:formatCode>0</c:formatCode>
                <c:ptCount val="3"/>
                <c:pt idx="0">
                  <c:v>2859</c:v>
                </c:pt>
                <c:pt idx="1">
                  <c:v>112297.86985172982</c:v>
                </c:pt>
                <c:pt idx="2">
                  <c:v>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D-42EE-9778-5C39CC516A9A}"/>
            </c:ext>
          </c:extLst>
        </c:ser>
        <c:ser>
          <c:idx val="1"/>
          <c:order val="1"/>
          <c:tx>
            <c:strRef>
              <c:f>Pivot!$C$68</c:f>
              <c:strCache>
                <c:ptCount val="1"/>
                <c:pt idx="0">
                  <c:v>In 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Pivot!$A$69:$A$71</c:f>
              <c:strCache>
                <c:ptCount val="3"/>
                <c:pt idx="0">
                  <c:v>Minimum Salary</c:v>
                </c:pt>
                <c:pt idx="1">
                  <c:v>Average Salary</c:v>
                </c:pt>
                <c:pt idx="2">
                  <c:v>Maximum Salary</c:v>
                </c:pt>
              </c:strCache>
            </c:strRef>
          </c:cat>
          <c:val>
            <c:numRef>
              <c:f>Pivot!$C$69:$C$71</c:f>
              <c:numCache>
                <c:formatCode>0</c:formatCode>
                <c:ptCount val="3"/>
                <c:pt idx="0">
                  <c:v>5679</c:v>
                </c:pt>
                <c:pt idx="1">
                  <c:v>144055.26197183097</c:v>
                </c:pt>
                <c:pt idx="2">
                  <c:v>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D-42EE-9778-5C39CC51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969088"/>
        <c:axId val="804968672"/>
      </c:lineChart>
      <c:catAx>
        <c:axId val="8049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68672"/>
        <c:crosses val="autoZero"/>
        <c:auto val="1"/>
        <c:lblAlgn val="ctr"/>
        <c:lblOffset val="100"/>
        <c:noMultiLvlLbl val="0"/>
      </c:catAx>
      <c:valAx>
        <c:axId val="8049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Pivot!$I$81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8D-47F0-85CE-30E99E768E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8D-47F0-85CE-30E99E768E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8D-47F0-85CE-30E99E768E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8D-47F0-85CE-30E99E768E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8D-47F0-85CE-30E99E768E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8D-47F0-85CE-30E99E768E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8D-47F0-85CE-30E99E768E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Pivot!$H$82:$H$88</c:f>
              <c:strCache>
                <c:ptCount val="7"/>
                <c:pt idx="0">
                  <c:v>Data Engineer</c:v>
                </c:pt>
                <c:pt idx="1">
                  <c:v>Data Scientist</c:v>
                </c:pt>
                <c:pt idx="2">
                  <c:v>Data Analyst</c:v>
                </c:pt>
                <c:pt idx="3">
                  <c:v>Machine Learning Engineer</c:v>
                </c:pt>
                <c:pt idx="4">
                  <c:v>Data Science Manager</c:v>
                </c:pt>
                <c:pt idx="5">
                  <c:v>Data Architect</c:v>
                </c:pt>
                <c:pt idx="6">
                  <c:v>Others</c:v>
                </c:pt>
              </c:strCache>
            </c:strRef>
          </c:cat>
          <c:val>
            <c:numRef>
              <c:f>Pivot!$I$82:$I$88</c:f>
              <c:numCache>
                <c:formatCode>General</c:formatCode>
                <c:ptCount val="7"/>
                <c:pt idx="0">
                  <c:v>85</c:v>
                </c:pt>
                <c:pt idx="1">
                  <c:v>84</c:v>
                </c:pt>
                <c:pt idx="2">
                  <c:v>71</c:v>
                </c:pt>
                <c:pt idx="3">
                  <c:v>16</c:v>
                </c:pt>
                <c:pt idx="4">
                  <c:v>10</c:v>
                </c:pt>
                <c:pt idx="5">
                  <c:v>9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C-4C93-A02F-25B7BCB17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Analysis.xlsx]Pivot!PivotTable9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Pivot!$B$55:$B$56</c:f>
              <c:strCache>
                <c:ptCount val="1"/>
                <c:pt idx="0">
                  <c:v>Junior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Pivot!$B$57:$B$60</c:f>
              <c:numCache>
                <c:formatCode>_(* #,##0_);_(* \(#,##0\);_(* "-"??_);_(@_)</c:formatCode>
                <c:ptCount val="4"/>
                <c:pt idx="1">
                  <c:v>12000</c:v>
                </c:pt>
                <c:pt idx="2">
                  <c:v>100000</c:v>
                </c:pt>
                <c:pt idx="3">
                  <c:v>98660.71428571429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8-4F08-8EFB-A629066125E8}"/>
            </c:ext>
          </c:extLst>
        </c:ser>
        <c:ser>
          <c:idx val="1"/>
          <c:order val="1"/>
          <c:tx>
            <c:strRef>
              <c:f>Pivot!$C$55:$C$56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Pivot!$C$57:$C$60</c:f>
              <c:numCache>
                <c:formatCode>_(* #,##0_);_(* \(#,##0\);_(* "-"??_);_(@_)</c:formatCode>
                <c:ptCount val="4"/>
                <c:pt idx="0">
                  <c:v>60000</c:v>
                </c:pt>
                <c:pt idx="2">
                  <c:v>105000</c:v>
                </c:pt>
                <c:pt idx="3">
                  <c:v>152166.77777777778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8-4F08-8EFB-A629066125E8}"/>
            </c:ext>
          </c:extLst>
        </c:ser>
        <c:ser>
          <c:idx val="2"/>
          <c:order val="2"/>
          <c:tx>
            <c:strRef>
              <c:f>Pivot!$D$55:$D$56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Pivot!$D$57:$D$60</c:f>
              <c:numCache>
                <c:formatCode>_(* #,##0_);_(* \(#,##0\);_(* "-"??_);_(@_)</c:formatCode>
                <c:ptCount val="4"/>
                <c:pt idx="0">
                  <c:v>60000</c:v>
                </c:pt>
                <c:pt idx="2">
                  <c:v>270000</c:v>
                </c:pt>
                <c:pt idx="3">
                  <c:v>125634.70114942528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38-4F08-8EFB-A629066125E8}"/>
            </c:ext>
          </c:extLst>
        </c:ser>
        <c:ser>
          <c:idx val="3"/>
          <c:order val="3"/>
          <c:tx>
            <c:strRef>
              <c:f>Pivot!$E$55:$E$56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Pivot!$E$57:$E$60</c:f>
              <c:numCache>
                <c:formatCode>_(* #,##0_);_(* \(#,##0\);_(* "-"??_);_(@_)</c:formatCode>
                <c:ptCount val="4"/>
                <c:pt idx="2">
                  <c:v>416000</c:v>
                </c:pt>
                <c:pt idx="3">
                  <c:v>232258.33333333334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38-4F08-8EFB-A62906612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73680"/>
        <c:axId val="691077840"/>
      </c:barChart>
      <c:catAx>
        <c:axId val="69107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77840"/>
        <c:crosses val="autoZero"/>
        <c:auto val="1"/>
        <c:lblAlgn val="ctr"/>
        <c:lblOffset val="100"/>
        <c:noMultiLvlLbl val="0"/>
      </c:catAx>
      <c:valAx>
        <c:axId val="6910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7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Pivot!$F$138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Pivot!$E$139:$E$141</c:f>
              <c:strCache>
                <c:ptCount val="3"/>
                <c:pt idx="0">
                  <c:v>In Office</c:v>
                </c:pt>
                <c:pt idx="1">
                  <c:v>Hybrid</c:v>
                </c:pt>
                <c:pt idx="2">
                  <c:v>Remote</c:v>
                </c:pt>
              </c:strCache>
            </c:strRef>
          </c:cat>
          <c:val>
            <c:numRef>
              <c:f>Pivot!$F$139:$F$141</c:f>
              <c:numCache>
                <c:formatCode>_(* #,##0_);_(* \(#,##0\);_(* "-"??_);_(@_)</c:formatCode>
                <c:ptCount val="3"/>
                <c:pt idx="0">
                  <c:v>137825.81159420291</c:v>
                </c:pt>
                <c:pt idx="1">
                  <c:v>131379.45000000001</c:v>
                </c:pt>
                <c:pt idx="2">
                  <c:v>146624.24060150376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F-47BA-8FCC-834ECECEA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4979936"/>
        <c:axId val="934977440"/>
      </c:barChart>
      <c:catAx>
        <c:axId val="93497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77440"/>
        <c:crosses val="autoZero"/>
        <c:auto val="1"/>
        <c:lblAlgn val="ctr"/>
        <c:lblOffset val="100"/>
        <c:noMultiLvlLbl val="0"/>
      </c:catAx>
      <c:valAx>
        <c:axId val="93497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7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5275296771782"/>
          <c:y val="2.8600586799965921E-2"/>
          <c:w val="0.87067224763035189"/>
          <c:h val="0.77084549264886104"/>
        </c:manualLayout>
      </c:layout>
      <c:lineChart>
        <c:grouping val="standard"/>
        <c:varyColors val="0"/>
        <c:ser>
          <c:idx val="0"/>
          <c:order val="0"/>
          <c:tx>
            <c:strRef>
              <c:f>Pivot!$B$68</c:f>
              <c:strCache>
                <c:ptCount val="1"/>
                <c:pt idx="0">
                  <c:v>Worldwide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Pivot!$A$69:$A$71</c:f>
              <c:strCache>
                <c:ptCount val="3"/>
                <c:pt idx="0">
                  <c:v>Minimum Salary</c:v>
                </c:pt>
                <c:pt idx="1">
                  <c:v>Average Salary</c:v>
                </c:pt>
                <c:pt idx="2">
                  <c:v>Maximum Salary</c:v>
                </c:pt>
              </c:strCache>
            </c:strRef>
          </c:cat>
          <c:val>
            <c:numRef>
              <c:f>Pivot!$B$69:$B$71</c:f>
              <c:numCache>
                <c:formatCode>0</c:formatCode>
                <c:ptCount val="3"/>
                <c:pt idx="0">
                  <c:v>2859</c:v>
                </c:pt>
                <c:pt idx="1">
                  <c:v>112297.86985172982</c:v>
                </c:pt>
                <c:pt idx="2">
                  <c:v>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8-401E-BACB-87CC0B7AEB3C}"/>
            </c:ext>
          </c:extLst>
        </c:ser>
        <c:ser>
          <c:idx val="1"/>
          <c:order val="1"/>
          <c:tx>
            <c:strRef>
              <c:f>Pivot!$C$68</c:f>
              <c:strCache>
                <c:ptCount val="1"/>
                <c:pt idx="0">
                  <c:v>In 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Pivot!$A$69:$A$71</c:f>
              <c:strCache>
                <c:ptCount val="3"/>
                <c:pt idx="0">
                  <c:v>Minimum Salary</c:v>
                </c:pt>
                <c:pt idx="1">
                  <c:v>Average Salary</c:v>
                </c:pt>
                <c:pt idx="2">
                  <c:v>Maximum Salary</c:v>
                </c:pt>
              </c:strCache>
            </c:strRef>
          </c:cat>
          <c:val>
            <c:numRef>
              <c:f>Pivot!$C$69:$C$71</c:f>
              <c:numCache>
                <c:formatCode>0</c:formatCode>
                <c:ptCount val="3"/>
                <c:pt idx="0">
                  <c:v>5679</c:v>
                </c:pt>
                <c:pt idx="1">
                  <c:v>144055.26197183097</c:v>
                </c:pt>
                <c:pt idx="2">
                  <c:v>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F8-401E-BACB-87CC0B7AE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969088"/>
        <c:axId val="804968672"/>
      </c:lineChart>
      <c:catAx>
        <c:axId val="8049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68672"/>
        <c:crosses val="autoZero"/>
        <c:auto val="1"/>
        <c:lblAlgn val="ctr"/>
        <c:lblOffset val="100"/>
        <c:noMultiLvlLbl val="0"/>
      </c:catAx>
      <c:valAx>
        <c:axId val="8049686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80621500386242"/>
          <c:y val="7.2808911480447366E-2"/>
          <c:w val="0.52218631423005168"/>
          <c:h val="0.89665799193429951"/>
        </c:manualLayout>
      </c:layout>
      <c:pieChart>
        <c:varyColors val="1"/>
        <c:ser>
          <c:idx val="0"/>
          <c:order val="0"/>
          <c:tx>
            <c:strRef>
              <c:f>Pivot!$I$81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29-4BF0-9A7D-F68EAB35B724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29-4BF0-9A7D-F68EAB35B724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29-4BF0-9A7D-F68EAB35B72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29-4BF0-9A7D-F68EAB35B724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29-4BF0-9A7D-F68EAB35B724}"/>
              </c:ext>
            </c:extLst>
          </c:dPt>
          <c:dPt>
            <c:idx val="5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29-4BF0-9A7D-F68EAB35B724}"/>
              </c:ext>
            </c:extLst>
          </c:dPt>
          <c:dPt>
            <c:idx val="6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C29-4BF0-9A7D-F68EAB35B72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C29-4BF0-9A7D-F68EAB35B72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C29-4BF0-9A7D-F68EAB35B72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C29-4BF0-9A7D-F68EAB35B72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C29-4BF0-9A7D-F68EAB35B72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C29-4BF0-9A7D-F68EAB35B7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Pivot!$H$82:$H$88</c:f>
              <c:strCache>
                <c:ptCount val="7"/>
                <c:pt idx="0">
                  <c:v>Data Engineer</c:v>
                </c:pt>
                <c:pt idx="1">
                  <c:v>Data Scientist</c:v>
                </c:pt>
                <c:pt idx="2">
                  <c:v>Data Analyst</c:v>
                </c:pt>
                <c:pt idx="3">
                  <c:v>Machine Learning Engineer</c:v>
                </c:pt>
                <c:pt idx="4">
                  <c:v>Data Science Manager</c:v>
                </c:pt>
                <c:pt idx="5">
                  <c:v>Data Architect</c:v>
                </c:pt>
                <c:pt idx="6">
                  <c:v>Others</c:v>
                </c:pt>
              </c:strCache>
            </c:strRef>
          </c:cat>
          <c:val>
            <c:numRef>
              <c:f>Pivot!$I$82:$I$88</c:f>
              <c:numCache>
                <c:formatCode>General</c:formatCode>
                <c:ptCount val="7"/>
                <c:pt idx="0">
                  <c:v>85</c:v>
                </c:pt>
                <c:pt idx="1">
                  <c:v>84</c:v>
                </c:pt>
                <c:pt idx="2">
                  <c:v>71</c:v>
                </c:pt>
                <c:pt idx="3">
                  <c:v>16</c:v>
                </c:pt>
                <c:pt idx="4">
                  <c:v>10</c:v>
                </c:pt>
                <c:pt idx="5">
                  <c:v>9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29-4BF0-9A7D-F68EAB35B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11997831734954"/>
          <c:y val="0.189265481556704"/>
          <c:w val="0.23508411856658143"/>
          <c:h val="0.644424686837032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Bookman Old Style" panose="02050604050505020204" pitchFamily="18" charset="0"/>
              </a:rPr>
              <a:t>In 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6139833948822715E-2"/>
          <c:y val="0.2514437455424291"/>
          <c:w val="0.89131352417869281"/>
          <c:h val="0.63417303687930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Pivot!$B$55:$B$56</c:f>
              <c:strCache>
                <c:ptCount val="1"/>
                <c:pt idx="0">
                  <c:v>Junior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Pivot!$B$57:$B$60</c:f>
              <c:numCache>
                <c:formatCode>_(* #,##0_);_(* \(#,##0\);_(* "-"??_);_(@_)</c:formatCode>
                <c:ptCount val="4"/>
                <c:pt idx="1">
                  <c:v>12000</c:v>
                </c:pt>
                <c:pt idx="2">
                  <c:v>100000</c:v>
                </c:pt>
                <c:pt idx="3">
                  <c:v>98660.71428571429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C-4F93-B40F-1B8D086F7050}"/>
            </c:ext>
          </c:extLst>
        </c:ser>
        <c:ser>
          <c:idx val="1"/>
          <c:order val="1"/>
          <c:tx>
            <c:strRef>
              <c:f>Pivot!$C$55:$C$56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Pivot!$C$57:$C$60</c:f>
              <c:numCache>
                <c:formatCode>_(* #,##0_);_(* \(#,##0\);_(* "-"??_);_(@_)</c:formatCode>
                <c:ptCount val="4"/>
                <c:pt idx="0">
                  <c:v>60000</c:v>
                </c:pt>
                <c:pt idx="2">
                  <c:v>105000</c:v>
                </c:pt>
                <c:pt idx="3">
                  <c:v>152166.77777777778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C-4F93-B40F-1B8D086F7050}"/>
            </c:ext>
          </c:extLst>
        </c:ser>
        <c:ser>
          <c:idx val="2"/>
          <c:order val="2"/>
          <c:tx>
            <c:strRef>
              <c:f>Pivot!$D$55:$D$56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Pivot!$D$57:$D$60</c:f>
              <c:numCache>
                <c:formatCode>_(* #,##0_);_(* \(#,##0\);_(* "-"??_);_(@_)</c:formatCode>
                <c:ptCount val="4"/>
                <c:pt idx="0">
                  <c:v>60000</c:v>
                </c:pt>
                <c:pt idx="2">
                  <c:v>270000</c:v>
                </c:pt>
                <c:pt idx="3">
                  <c:v>125634.70114942528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C-4F93-B40F-1B8D086F7050}"/>
            </c:ext>
          </c:extLst>
        </c:ser>
        <c:ser>
          <c:idx val="3"/>
          <c:order val="3"/>
          <c:tx>
            <c:strRef>
              <c:f>Pivot!$E$55:$E$56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Pivot!$A$57:$A$60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Pivot!$E$57:$E$60</c:f>
              <c:numCache>
                <c:formatCode>_(* #,##0_);_(* \(#,##0\);_(* "-"??_);_(@_)</c:formatCode>
                <c:ptCount val="4"/>
                <c:pt idx="2">
                  <c:v>416000</c:v>
                </c:pt>
                <c:pt idx="3">
                  <c:v>232258.33333333334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C-4F93-B40F-1B8D086F7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1066192"/>
        <c:axId val="691072432"/>
      </c:barChart>
      <c:catAx>
        <c:axId val="69106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72432"/>
        <c:crosses val="autoZero"/>
        <c:auto val="1"/>
        <c:lblAlgn val="ctr"/>
        <c:lblOffset val="100"/>
        <c:noMultiLvlLbl val="0"/>
      </c:catAx>
      <c:valAx>
        <c:axId val="69107243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9106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Salary Analysis.xlsx]Pivot!PivotTable3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Bookman Old Style" panose="02050604050505020204" pitchFamily="18" charset="0"/>
              </a:rPr>
              <a:t>Worldwide</a:t>
            </a:r>
            <a:endParaRPr lang="en-US">
              <a:latin typeface="Bookman Old Style" panose="02050604050505020204" pitchFamily="18" charset="0"/>
            </a:endParaRPr>
          </a:p>
        </c:rich>
      </c:tx>
      <c:layout>
        <c:manualLayout>
          <c:xMode val="edge"/>
          <c:yMode val="edge"/>
          <c:x val="0.31606176053029078"/>
          <c:y val="2.7860703793552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0009197223699529E-2"/>
          <c:y val="0.25216877771658797"/>
          <c:w val="0.6960093987510263"/>
          <c:h val="0.651265180719399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Pivot!$B$23:$B$24</c:f>
              <c:strCache>
                <c:ptCount val="1"/>
                <c:pt idx="0">
                  <c:v>Junior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Pivot!$B$25:$B$28</c:f>
              <c:numCache>
                <c:formatCode>_(* #,##0_);_(* \(#,##0\);_(* "-"??_);_(@_)</c:formatCode>
                <c:ptCount val="4"/>
                <c:pt idx="1">
                  <c:v>28656.857142857141</c:v>
                </c:pt>
                <c:pt idx="2">
                  <c:v>65937.5</c:v>
                </c:pt>
                <c:pt idx="3">
                  <c:v>64457.455696202531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B-4789-B24B-76B80DEC6E9D}"/>
            </c:ext>
          </c:extLst>
        </c:ser>
        <c:ser>
          <c:idx val="1"/>
          <c:order val="1"/>
          <c:tx>
            <c:strRef>
              <c:f>Pivot!$C$23:$C$24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Pivot!$C$25:$C$28</c:f>
              <c:numCache>
                <c:formatCode>_(* #,##0_);_(* \(#,##0\);_(* "-"??_);_(@_)</c:formatCode>
                <c:ptCount val="4"/>
                <c:pt idx="0">
                  <c:v>44000</c:v>
                </c:pt>
                <c:pt idx="1">
                  <c:v>43369</c:v>
                </c:pt>
                <c:pt idx="2">
                  <c:v>270000</c:v>
                </c:pt>
                <c:pt idx="3">
                  <c:v>88403.169902912618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B-4789-B24B-76B80DEC6E9D}"/>
            </c:ext>
          </c:extLst>
        </c:ser>
        <c:ser>
          <c:idx val="2"/>
          <c:order val="2"/>
          <c:tx>
            <c:strRef>
              <c:f>Pivot!$D$23:$D$24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Pivot!$D$25:$D$28</c:f>
              <c:numCache>
                <c:formatCode>_(* #,##0_);_(* \(#,##0\);_(* "-"??_);_(@_)</c:formatCode>
                <c:ptCount val="4"/>
                <c:pt idx="0">
                  <c:v>60000</c:v>
                </c:pt>
                <c:pt idx="2">
                  <c:v>105000</c:v>
                </c:pt>
                <c:pt idx="3">
                  <c:v>139021.01438848922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B-4789-B24B-76B80DEC6E9D}"/>
            </c:ext>
          </c:extLst>
        </c:ser>
        <c:ser>
          <c:idx val="3"/>
          <c:order val="3"/>
          <c:tx>
            <c:strRef>
              <c:f>Pivot!$E$23:$E$24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Pivot!$A$25:$A$28</c:f>
              <c:strCache>
                <c:ptCount val="4"/>
                <c:pt idx="0">
                  <c:v>Freelance</c:v>
                </c:pt>
                <c:pt idx="1">
                  <c:v>Part Time</c:v>
                </c:pt>
                <c:pt idx="2">
                  <c:v>Contract</c:v>
                </c:pt>
                <c:pt idx="3">
                  <c:v>Full Time</c:v>
                </c:pt>
              </c:strCache>
            </c:strRef>
          </c:cat>
          <c:val>
            <c:numRef>
              <c:f>Pivot!$E$25:$E$28</c:f>
              <c:numCache>
                <c:formatCode>_(* #,##0_);_(* \(#,##0\);_(* "-"??_);_(@_)</c:formatCode>
                <c:ptCount val="4"/>
                <c:pt idx="2">
                  <c:v>416000</c:v>
                </c:pt>
                <c:pt idx="3">
                  <c:v>190727.72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B-4789-B24B-76B80DEC6E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8868832"/>
        <c:axId val="798870912"/>
      </c:barChart>
      <c:catAx>
        <c:axId val="79886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70912"/>
        <c:crosses val="autoZero"/>
        <c:auto val="1"/>
        <c:lblAlgn val="ctr"/>
        <c:lblOffset val="100"/>
        <c:noMultiLvlLbl val="0"/>
      </c:catAx>
      <c:valAx>
        <c:axId val="798870912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7988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375544412159311"/>
          <c:y val="0.2605839825186711"/>
          <c:w val="0.13574754951037124"/>
          <c:h val="0.315002270866618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83907791685429E-2"/>
          <c:y val="4.1666666666666664E-2"/>
          <c:w val="0.8820657055194716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Pivot!$F$138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Pivot!$E$139:$E$141</c:f>
              <c:strCache>
                <c:ptCount val="3"/>
                <c:pt idx="0">
                  <c:v>In Office</c:v>
                </c:pt>
                <c:pt idx="1">
                  <c:v>Hybrid</c:v>
                </c:pt>
                <c:pt idx="2">
                  <c:v>Remote</c:v>
                </c:pt>
              </c:strCache>
            </c:strRef>
          </c:cat>
          <c:val>
            <c:numRef>
              <c:f>Pivot!$F$139:$F$141</c:f>
              <c:numCache>
                <c:formatCode>_(* #,##0_);_(* \(#,##0\);_(* "-"??_);_(@_)</c:formatCode>
                <c:ptCount val="3"/>
                <c:pt idx="0">
                  <c:v>137825.81159420291</c:v>
                </c:pt>
                <c:pt idx="1">
                  <c:v>131379.45000000001</c:v>
                </c:pt>
                <c:pt idx="2">
                  <c:v>146624.24060150376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6-42C5-A576-380C6A014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934979936"/>
        <c:axId val="934977440"/>
      </c:barChart>
      <c:catAx>
        <c:axId val="934979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77440"/>
        <c:crosses val="autoZero"/>
        <c:auto val="1"/>
        <c:lblAlgn val="ctr"/>
        <c:lblOffset val="100"/>
        <c:noMultiLvlLbl val="0"/>
      </c:catAx>
      <c:valAx>
        <c:axId val="934977440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93497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423861</xdr:colOff>
      <xdr:row>0</xdr:row>
      <xdr:rowOff>0</xdr:rowOff>
    </xdr:from>
    <xdr:to>
      <xdr:col>8</xdr:col>
      <xdr:colOff>990600</xdr:colOff>
      <xdr:row>11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604838</xdr:colOff>
      <xdr:row>11</xdr:row>
      <xdr:rowOff>47625</xdr:rowOff>
    </xdr:from>
    <xdr:to>
      <xdr:col>8</xdr:col>
      <xdr:colOff>628651</xdr:colOff>
      <xdr:row>20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52386</xdr:colOff>
      <xdr:row>20</xdr:row>
      <xdr:rowOff>171450</xdr:rowOff>
    </xdr:from>
    <xdr:to>
      <xdr:col>8</xdr:col>
      <xdr:colOff>981074</xdr:colOff>
      <xdr:row>32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71437</xdr:colOff>
      <xdr:row>32</xdr:row>
      <xdr:rowOff>76200</xdr:rowOff>
    </xdr:from>
    <xdr:to>
      <xdr:col>8</xdr:col>
      <xdr:colOff>957262</xdr:colOff>
      <xdr:row>43</xdr:row>
      <xdr:rowOff>38099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300037</xdr:colOff>
      <xdr:row>43</xdr:row>
      <xdr:rowOff>57149</xdr:rowOff>
    </xdr:from>
    <xdr:to>
      <xdr:col>9</xdr:col>
      <xdr:colOff>180975</xdr:colOff>
      <xdr:row>54</xdr:row>
      <xdr:rowOff>9524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333375</xdr:colOff>
      <xdr:row>67</xdr:row>
      <xdr:rowOff>171450</xdr:rowOff>
    </xdr:from>
    <xdr:to>
      <xdr:col>8</xdr:col>
      <xdr:colOff>419100</xdr:colOff>
      <xdr:row>77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323851</xdr:colOff>
      <xdr:row>94</xdr:row>
      <xdr:rowOff>118381</xdr:rowOff>
    </xdr:from>
    <xdr:to>
      <xdr:col>8</xdr:col>
      <xdr:colOff>476250</xdr:colOff>
      <xdr:row>109</xdr:row>
      <xdr:rowOff>4081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421821</xdr:colOff>
      <xdr:row>55</xdr:row>
      <xdr:rowOff>97971</xdr:rowOff>
    </xdr:from>
    <xdr:to>
      <xdr:col>8</xdr:col>
      <xdr:colOff>1415142</xdr:colOff>
      <xdr:row>69</xdr:row>
      <xdr:rowOff>40821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285750</xdr:colOff>
      <xdr:row>122</xdr:row>
      <xdr:rowOff>57150</xdr:rowOff>
    </xdr:from>
    <xdr:to>
      <xdr:col>8</xdr:col>
      <xdr:colOff>557893</xdr:colOff>
      <xdr:row>136</xdr:row>
      <xdr:rowOff>133350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408214</xdr:colOff>
      <xdr:row>2</xdr:row>
      <xdr:rowOff>108856</xdr:rowOff>
    </xdr:from>
    <xdr:to>
      <xdr:col>8</xdr:col>
      <xdr:colOff>1006929</xdr:colOff>
      <xdr:row>14</xdr:row>
      <xdr:rowOff>160565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865909</xdr:colOff>
      <xdr:row>34</xdr:row>
      <xdr:rowOff>81642</xdr:rowOff>
    </xdr:from>
    <xdr:to>
      <xdr:col>9</xdr:col>
      <xdr:colOff>173181</xdr:colOff>
      <xdr:row>54</xdr:row>
      <xdr:rowOff>136070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816429</xdr:colOff>
      <xdr:row>17</xdr:row>
      <xdr:rowOff>54430</xdr:rowOff>
    </xdr:from>
    <xdr:to>
      <xdr:col>8</xdr:col>
      <xdr:colOff>771721</xdr:colOff>
      <xdr:row>32</xdr:row>
      <xdr:rowOff>40821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326571</xdr:colOff>
      <xdr:row>17</xdr:row>
      <xdr:rowOff>108857</xdr:rowOff>
    </xdr:from>
    <xdr:to>
      <xdr:col>4</xdr:col>
      <xdr:colOff>884464</xdr:colOff>
      <xdr:row>31</xdr:row>
      <xdr:rowOff>163285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571499</xdr:colOff>
      <xdr:row>55</xdr:row>
      <xdr:rowOff>136071</xdr:rowOff>
    </xdr:from>
    <xdr:to>
      <xdr:col>5</xdr:col>
      <xdr:colOff>312963</xdr:colOff>
      <xdr:row>70</xdr:row>
      <xdr:rowOff>21771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shall" refreshedDate="44818.793404166667" createdVersion="6" refreshedVersion="6" minRefreshableVersion="3" recordCount="607">
  <cacheSource type="worksheet">
    <worksheetSource name="SalaryInfo"/>
  </cacheSource>
  <cacheFields count="15">
    <cacheField name="Column1" numFmtId="0">
      <sharedItems containsSemiMixedTypes="0" containsString="0" containsNumber="1" containsInteger="1" minValue="0" maxValue="606"/>
    </cacheField>
    <cacheField name="work_year" numFmtId="0">
      <sharedItems containsSemiMixedTypes="0" containsString="0" containsNumber="1" containsInteger="1" minValue="2020" maxValue="2022"/>
    </cacheField>
    <cacheField name="Experience" numFmtId="0">
      <sharedItems count="4">
        <s v="Intermediate"/>
        <s v="Senior"/>
        <s v="Junior"/>
        <s v="Director"/>
      </sharedItems>
    </cacheField>
    <cacheField name="experience_level" numFmtId="0">
      <sharedItems/>
    </cacheField>
    <cacheField name="EmpType" numFmtId="0">
      <sharedItems count="4">
        <s v="Full Time"/>
        <s v="Contract"/>
        <s v="Part Time"/>
        <s v="Freelance"/>
      </sharedItems>
    </cacheField>
    <cacheField name="employment_type" numFmtId="0">
      <sharedItems count="4">
        <s v="FT"/>
        <s v="CT"/>
        <s v="PT"/>
        <s v="FL"/>
      </sharedItems>
    </cacheField>
    <cacheField name="job_title" numFmtId="0">
      <sharedItems/>
    </cacheField>
    <cacheField name="salary" numFmtId="0">
      <sharedItems containsSemiMixedTypes="0" containsString="0" containsNumber="1" containsInteger="1" minValue="4000" maxValue="30400000"/>
    </cacheField>
    <cacheField name="salary_currency" numFmtId="0">
      <sharedItems/>
    </cacheField>
    <cacheField name="salary_in_usd" numFmtId="0">
      <sharedItems containsSemiMixedTypes="0" containsString="0" containsNumber="1" containsInteger="1" minValue="2859" maxValue="600000"/>
    </cacheField>
    <cacheField name="employee_residence" numFmtId="0">
      <sharedItems/>
    </cacheField>
    <cacheField name="remote_ratio" numFmtId="0">
      <sharedItems containsSemiMixedTypes="0" containsString="0" containsNumber="1" containsInteger="1" minValue="0" maxValue="100"/>
    </cacheField>
    <cacheField name="company_location" numFmtId="0">
      <sharedItems/>
    </cacheField>
    <cacheField name="company_size" numFmtId="0">
      <sharedItems/>
    </cacheField>
    <cacheField name="companyseze" numFmtId="0">
      <sharedItems count="3">
        <s v="Large"/>
        <s v="Small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rshall" refreshedDate="44818.831317476855" createdVersion="6" refreshedVersion="6" minRefreshableVersion="3" recordCount="355">
  <cacheSource type="worksheet">
    <worksheetSource name="salaryinfous"/>
  </cacheSource>
  <cacheFields count="12">
    <cacheField name="Column1" numFmtId="0">
      <sharedItems containsSemiMixedTypes="0" containsString="0" containsNumber="1" containsInteger="1" minValue="4" maxValue="606"/>
    </cacheField>
    <cacheField name="work_year" numFmtId="0">
      <sharedItems containsSemiMixedTypes="0" containsString="0" containsNumber="1" containsInteger="1" minValue="2020" maxValue="2022"/>
    </cacheField>
    <cacheField name="Experience" numFmtId="0">
      <sharedItems count="4">
        <s v="Director"/>
        <s v="Intermediate"/>
        <s v="Senior"/>
        <s v="Junior"/>
      </sharedItems>
    </cacheField>
    <cacheField name="EmpType" numFmtId="0">
      <sharedItems count="4">
        <s v="Full Time"/>
        <s v="Contract"/>
        <s v="Freelance"/>
        <s v="Part Time"/>
      </sharedItems>
    </cacheField>
    <cacheField name="job_title" numFmtId="0">
      <sharedItems count="39">
        <s v="Principal Data Engineer"/>
        <s v="Research Scientist"/>
        <s v="Financial Data Analyst"/>
        <s v="Applied Machine Learning Scientist"/>
        <s v="Principal Data Scientist"/>
        <s v="Data Scientist"/>
        <s v="Data Analytics Lead"/>
        <s v="Applied Data Scientist"/>
        <s v="Director of Data Science"/>
        <s v="Data Engineer"/>
        <s v="Lead Data Engineer"/>
        <s v="ML Engineer"/>
        <s v="Data Architect"/>
        <s v="Machine Learning Engineer"/>
        <s v="Data Science Manager"/>
        <s v="Head of Data"/>
        <s v="Machine Learning Scientist"/>
        <s v="Head of Data Science"/>
        <s v="Analytics Engineer"/>
        <s v="Director of Data Engineering"/>
        <s v="Data Analyst"/>
        <s v="AI Scientist"/>
        <s v="Machine Learning Infrastructure Engineer"/>
        <s v="Lead Data Scientist"/>
        <s v="Data Engineering Manager"/>
        <s v="Lead Data Analyst"/>
        <s v="Principal Data Analyst"/>
        <s v="Data Specialist"/>
        <s v="Cloud Data Engineer"/>
        <s v="Data Analytics Manager"/>
        <s v="BI Data Analyst"/>
        <s v="Business Data Analyst"/>
        <s v="Computer Vision Engineer"/>
        <s v="Data Analytics Engineer"/>
        <s v="Staff Data Scientist"/>
        <s v="Data Science Consultant"/>
        <s v="Computer Vision Software Engineer"/>
        <s v="Big Data Engineer"/>
        <s v="NLP Engineer"/>
      </sharedItems>
    </cacheField>
    <cacheField name="salary" numFmtId="0">
      <sharedItems containsSemiMixedTypes="0" containsString="0" containsNumber="1" containsInteger="1" minValue="12000" maxValue="11000000"/>
    </cacheField>
    <cacheField name="salary_currency" numFmtId="0">
      <sharedItems/>
    </cacheField>
    <cacheField name="salary_in_usd" numFmtId="0">
      <sharedItems containsSemiMixedTypes="0" containsString="0" containsNumber="1" containsInteger="1" minValue="5679" maxValue="600000"/>
    </cacheField>
    <cacheField name="employee_residence" numFmtId="0">
      <sharedItems/>
    </cacheField>
    <cacheField name="remote_ratio" numFmtId="0">
      <sharedItems containsSemiMixedTypes="0" containsString="0" containsNumber="1" containsInteger="1" minValue="0" maxValue="100" count="3">
        <n v="100"/>
        <n v="0"/>
        <n v="50"/>
      </sharedItems>
    </cacheField>
    <cacheField name="company_location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7">
  <r>
    <n v="0"/>
    <n v="2020"/>
    <x v="0"/>
    <s v="MI"/>
    <x v="0"/>
    <x v="0"/>
    <s v="Data Scientist"/>
    <n v="70000"/>
    <s v="EUR"/>
    <n v="79833"/>
    <s v="DE"/>
    <n v="0"/>
    <s v="DE"/>
    <s v="L"/>
    <x v="0"/>
  </r>
  <r>
    <n v="1"/>
    <n v="2020"/>
    <x v="1"/>
    <s v="SE"/>
    <x v="0"/>
    <x v="0"/>
    <s v="Machine Learning Scientist"/>
    <n v="260000"/>
    <s v="USD"/>
    <n v="260000"/>
    <s v="JP"/>
    <n v="0"/>
    <s v="JP"/>
    <s v="S"/>
    <x v="1"/>
  </r>
  <r>
    <n v="2"/>
    <n v="2020"/>
    <x v="1"/>
    <s v="SE"/>
    <x v="0"/>
    <x v="0"/>
    <s v="Big Data Engineer"/>
    <n v="85000"/>
    <s v="GBP"/>
    <n v="109024"/>
    <s v="GB"/>
    <n v="50"/>
    <s v="GB"/>
    <s v="M"/>
    <x v="2"/>
  </r>
  <r>
    <n v="3"/>
    <n v="2020"/>
    <x v="0"/>
    <s v="MI"/>
    <x v="0"/>
    <x v="0"/>
    <s v="Product Data Analyst"/>
    <n v="20000"/>
    <s v="USD"/>
    <n v="20000"/>
    <s v="HN"/>
    <n v="0"/>
    <s v="HN"/>
    <s v="S"/>
    <x v="1"/>
  </r>
  <r>
    <n v="4"/>
    <n v="2020"/>
    <x v="1"/>
    <s v="SE"/>
    <x v="0"/>
    <x v="0"/>
    <s v="Machine Learning Engineer"/>
    <n v="150000"/>
    <s v="USD"/>
    <n v="150000"/>
    <s v="US"/>
    <n v="50"/>
    <s v="US"/>
    <s v="L"/>
    <x v="0"/>
  </r>
  <r>
    <n v="5"/>
    <n v="2020"/>
    <x v="2"/>
    <s v="EN"/>
    <x v="0"/>
    <x v="0"/>
    <s v="Data Analyst"/>
    <n v="72000"/>
    <s v="USD"/>
    <n v="72000"/>
    <s v="US"/>
    <n v="100"/>
    <s v="US"/>
    <s v="L"/>
    <x v="0"/>
  </r>
  <r>
    <n v="6"/>
    <n v="2020"/>
    <x v="1"/>
    <s v="SE"/>
    <x v="0"/>
    <x v="0"/>
    <s v="Lead Data Scientist"/>
    <n v="190000"/>
    <s v="USD"/>
    <n v="190000"/>
    <s v="US"/>
    <n v="100"/>
    <s v="US"/>
    <s v="S"/>
    <x v="1"/>
  </r>
  <r>
    <n v="7"/>
    <n v="2020"/>
    <x v="0"/>
    <s v="MI"/>
    <x v="0"/>
    <x v="0"/>
    <s v="Data Scientist"/>
    <n v="11000000"/>
    <s v="HUF"/>
    <n v="35735"/>
    <s v="HU"/>
    <n v="50"/>
    <s v="HU"/>
    <s v="L"/>
    <x v="0"/>
  </r>
  <r>
    <n v="8"/>
    <n v="2020"/>
    <x v="0"/>
    <s v="MI"/>
    <x v="0"/>
    <x v="0"/>
    <s v="Business Data Analyst"/>
    <n v="135000"/>
    <s v="USD"/>
    <n v="135000"/>
    <s v="US"/>
    <n v="100"/>
    <s v="US"/>
    <s v="L"/>
    <x v="0"/>
  </r>
  <r>
    <n v="9"/>
    <n v="2020"/>
    <x v="1"/>
    <s v="SE"/>
    <x v="0"/>
    <x v="0"/>
    <s v="Lead Data Engineer"/>
    <n v="125000"/>
    <s v="USD"/>
    <n v="125000"/>
    <s v="NZ"/>
    <n v="50"/>
    <s v="NZ"/>
    <s v="S"/>
    <x v="1"/>
  </r>
  <r>
    <n v="10"/>
    <n v="2020"/>
    <x v="2"/>
    <s v="EN"/>
    <x v="0"/>
    <x v="0"/>
    <s v="Data Scientist"/>
    <n v="45000"/>
    <s v="EUR"/>
    <n v="51321"/>
    <s v="FR"/>
    <n v="0"/>
    <s v="FR"/>
    <s v="S"/>
    <x v="1"/>
  </r>
  <r>
    <n v="11"/>
    <n v="2020"/>
    <x v="0"/>
    <s v="MI"/>
    <x v="0"/>
    <x v="0"/>
    <s v="Data Scientist"/>
    <n v="3000000"/>
    <s v="INR"/>
    <n v="40481"/>
    <s v="IN"/>
    <n v="0"/>
    <s v="IN"/>
    <s v="L"/>
    <x v="0"/>
  </r>
  <r>
    <n v="12"/>
    <n v="2020"/>
    <x v="2"/>
    <s v="EN"/>
    <x v="0"/>
    <x v="0"/>
    <s v="Data Scientist"/>
    <n v="35000"/>
    <s v="EUR"/>
    <n v="39916"/>
    <s v="FR"/>
    <n v="0"/>
    <s v="FR"/>
    <s v="M"/>
    <x v="2"/>
  </r>
  <r>
    <n v="13"/>
    <n v="2020"/>
    <x v="0"/>
    <s v="MI"/>
    <x v="0"/>
    <x v="0"/>
    <s v="Lead Data Analyst"/>
    <n v="87000"/>
    <s v="USD"/>
    <n v="87000"/>
    <s v="US"/>
    <n v="100"/>
    <s v="US"/>
    <s v="L"/>
    <x v="0"/>
  </r>
  <r>
    <n v="14"/>
    <n v="2020"/>
    <x v="0"/>
    <s v="MI"/>
    <x v="0"/>
    <x v="0"/>
    <s v="Data Analyst"/>
    <n v="85000"/>
    <s v="USD"/>
    <n v="85000"/>
    <s v="US"/>
    <n v="100"/>
    <s v="US"/>
    <s v="L"/>
    <x v="0"/>
  </r>
  <r>
    <n v="15"/>
    <n v="2020"/>
    <x v="0"/>
    <s v="MI"/>
    <x v="0"/>
    <x v="0"/>
    <s v="Data Analyst"/>
    <n v="8000"/>
    <s v="USD"/>
    <n v="8000"/>
    <s v="PK"/>
    <n v="50"/>
    <s v="PK"/>
    <s v="L"/>
    <x v="0"/>
  </r>
  <r>
    <n v="16"/>
    <n v="2020"/>
    <x v="2"/>
    <s v="EN"/>
    <x v="0"/>
    <x v="0"/>
    <s v="Data Engineer"/>
    <n v="4450000"/>
    <s v="JPY"/>
    <n v="41689"/>
    <s v="JP"/>
    <n v="100"/>
    <s v="JP"/>
    <s v="S"/>
    <x v="1"/>
  </r>
  <r>
    <n v="17"/>
    <n v="2020"/>
    <x v="1"/>
    <s v="SE"/>
    <x v="0"/>
    <x v="0"/>
    <s v="Big Data Engineer"/>
    <n v="100000"/>
    <s v="EUR"/>
    <n v="114047"/>
    <s v="PL"/>
    <n v="100"/>
    <s v="GB"/>
    <s v="S"/>
    <x v="1"/>
  </r>
  <r>
    <n v="18"/>
    <n v="2020"/>
    <x v="2"/>
    <s v="EN"/>
    <x v="0"/>
    <x v="0"/>
    <s v="Data Science Consultant"/>
    <n v="423000"/>
    <s v="INR"/>
    <n v="5707"/>
    <s v="IN"/>
    <n v="50"/>
    <s v="IN"/>
    <s v="M"/>
    <x v="2"/>
  </r>
  <r>
    <n v="19"/>
    <n v="2020"/>
    <x v="0"/>
    <s v="MI"/>
    <x v="0"/>
    <x v="0"/>
    <s v="Lead Data Engineer"/>
    <n v="56000"/>
    <s v="USD"/>
    <n v="56000"/>
    <s v="PT"/>
    <n v="100"/>
    <s v="US"/>
    <s v="M"/>
    <x v="2"/>
  </r>
  <r>
    <n v="20"/>
    <n v="2020"/>
    <x v="0"/>
    <s v="MI"/>
    <x v="0"/>
    <x v="0"/>
    <s v="Machine Learning Engineer"/>
    <n v="299000"/>
    <s v="CNY"/>
    <n v="43331"/>
    <s v="CN"/>
    <n v="0"/>
    <s v="CN"/>
    <s v="M"/>
    <x v="2"/>
  </r>
  <r>
    <n v="21"/>
    <n v="2020"/>
    <x v="0"/>
    <s v="MI"/>
    <x v="0"/>
    <x v="0"/>
    <s v="Product Data Analyst"/>
    <n v="450000"/>
    <s v="INR"/>
    <n v="6072"/>
    <s v="IN"/>
    <n v="100"/>
    <s v="IN"/>
    <s v="L"/>
    <x v="0"/>
  </r>
  <r>
    <n v="22"/>
    <n v="2020"/>
    <x v="1"/>
    <s v="SE"/>
    <x v="0"/>
    <x v="0"/>
    <s v="Data Engineer"/>
    <n v="42000"/>
    <s v="EUR"/>
    <n v="47899"/>
    <s v="GR"/>
    <n v="50"/>
    <s v="GR"/>
    <s v="L"/>
    <x v="0"/>
  </r>
  <r>
    <n v="23"/>
    <n v="2020"/>
    <x v="0"/>
    <s v="MI"/>
    <x v="0"/>
    <x v="0"/>
    <s v="BI Data Analyst"/>
    <n v="98000"/>
    <s v="USD"/>
    <n v="98000"/>
    <s v="US"/>
    <n v="0"/>
    <s v="US"/>
    <s v="M"/>
    <x v="2"/>
  </r>
  <r>
    <n v="24"/>
    <n v="2020"/>
    <x v="0"/>
    <s v="MI"/>
    <x v="0"/>
    <x v="0"/>
    <s v="Lead Data Scientist"/>
    <n v="115000"/>
    <s v="USD"/>
    <n v="115000"/>
    <s v="AE"/>
    <n v="0"/>
    <s v="AE"/>
    <s v="L"/>
    <x v="0"/>
  </r>
  <r>
    <n v="25"/>
    <n v="2020"/>
    <x v="3"/>
    <s v="EX"/>
    <x v="0"/>
    <x v="0"/>
    <s v="Director of Data Science"/>
    <n v="325000"/>
    <s v="USD"/>
    <n v="325000"/>
    <s v="US"/>
    <n v="100"/>
    <s v="US"/>
    <s v="L"/>
    <x v="0"/>
  </r>
  <r>
    <n v="26"/>
    <n v="2020"/>
    <x v="2"/>
    <s v="EN"/>
    <x v="0"/>
    <x v="0"/>
    <s v="Research Scientist"/>
    <n v="42000"/>
    <s v="USD"/>
    <n v="42000"/>
    <s v="NL"/>
    <n v="50"/>
    <s v="NL"/>
    <s v="L"/>
    <x v="0"/>
  </r>
  <r>
    <n v="27"/>
    <n v="2020"/>
    <x v="1"/>
    <s v="SE"/>
    <x v="0"/>
    <x v="0"/>
    <s v="Data Engineer"/>
    <n v="720000"/>
    <s v="MXN"/>
    <n v="33511"/>
    <s v="MX"/>
    <n v="0"/>
    <s v="MX"/>
    <s v="S"/>
    <x v="1"/>
  </r>
  <r>
    <n v="28"/>
    <n v="2020"/>
    <x v="2"/>
    <s v="EN"/>
    <x v="1"/>
    <x v="1"/>
    <s v="Business Data Analyst"/>
    <n v="100000"/>
    <s v="USD"/>
    <n v="100000"/>
    <s v="US"/>
    <n v="100"/>
    <s v="US"/>
    <s v="L"/>
    <x v="0"/>
  </r>
  <r>
    <n v="29"/>
    <n v="2020"/>
    <x v="1"/>
    <s v="SE"/>
    <x v="0"/>
    <x v="0"/>
    <s v="Machine Learning Manager"/>
    <n v="157000"/>
    <s v="CAD"/>
    <n v="117104"/>
    <s v="CA"/>
    <n v="50"/>
    <s v="CA"/>
    <s v="L"/>
    <x v="0"/>
  </r>
  <r>
    <n v="30"/>
    <n v="2020"/>
    <x v="0"/>
    <s v="MI"/>
    <x v="0"/>
    <x v="0"/>
    <s v="Data Engineering Manager"/>
    <n v="51999"/>
    <s v="EUR"/>
    <n v="59303"/>
    <s v="DE"/>
    <n v="100"/>
    <s v="DE"/>
    <s v="S"/>
    <x v="1"/>
  </r>
  <r>
    <n v="31"/>
    <n v="2020"/>
    <x v="2"/>
    <s v="EN"/>
    <x v="0"/>
    <x v="0"/>
    <s v="Big Data Engineer"/>
    <n v="70000"/>
    <s v="USD"/>
    <n v="70000"/>
    <s v="US"/>
    <n v="100"/>
    <s v="US"/>
    <s v="L"/>
    <x v="0"/>
  </r>
  <r>
    <n v="32"/>
    <n v="2020"/>
    <x v="1"/>
    <s v="SE"/>
    <x v="0"/>
    <x v="0"/>
    <s v="Data Scientist"/>
    <n v="60000"/>
    <s v="EUR"/>
    <n v="68428"/>
    <s v="GR"/>
    <n v="100"/>
    <s v="US"/>
    <s v="L"/>
    <x v="0"/>
  </r>
  <r>
    <n v="33"/>
    <n v="2020"/>
    <x v="0"/>
    <s v="MI"/>
    <x v="0"/>
    <x v="0"/>
    <s v="Research Scientist"/>
    <n v="450000"/>
    <s v="USD"/>
    <n v="450000"/>
    <s v="US"/>
    <n v="0"/>
    <s v="US"/>
    <s v="M"/>
    <x v="2"/>
  </r>
  <r>
    <n v="34"/>
    <n v="2020"/>
    <x v="0"/>
    <s v="MI"/>
    <x v="0"/>
    <x v="0"/>
    <s v="Data Analyst"/>
    <n v="41000"/>
    <s v="EUR"/>
    <n v="46759"/>
    <s v="FR"/>
    <n v="50"/>
    <s v="FR"/>
    <s v="L"/>
    <x v="0"/>
  </r>
  <r>
    <n v="35"/>
    <n v="2020"/>
    <x v="0"/>
    <s v="MI"/>
    <x v="0"/>
    <x v="0"/>
    <s v="Data Engineer"/>
    <n v="65000"/>
    <s v="EUR"/>
    <n v="74130"/>
    <s v="AT"/>
    <n v="50"/>
    <s v="AT"/>
    <s v="L"/>
    <x v="0"/>
  </r>
  <r>
    <n v="36"/>
    <n v="2020"/>
    <x v="0"/>
    <s v="MI"/>
    <x v="0"/>
    <x v="0"/>
    <s v="Data Science Consultant"/>
    <n v="103000"/>
    <s v="USD"/>
    <n v="103000"/>
    <s v="US"/>
    <n v="100"/>
    <s v="US"/>
    <s v="L"/>
    <x v="0"/>
  </r>
  <r>
    <n v="37"/>
    <n v="2020"/>
    <x v="2"/>
    <s v="EN"/>
    <x v="0"/>
    <x v="0"/>
    <s v="Machine Learning Engineer"/>
    <n v="250000"/>
    <s v="USD"/>
    <n v="250000"/>
    <s v="US"/>
    <n v="50"/>
    <s v="US"/>
    <s v="L"/>
    <x v="0"/>
  </r>
  <r>
    <n v="38"/>
    <n v="2020"/>
    <x v="2"/>
    <s v="EN"/>
    <x v="0"/>
    <x v="0"/>
    <s v="Data Analyst"/>
    <n v="10000"/>
    <s v="USD"/>
    <n v="10000"/>
    <s v="NG"/>
    <n v="100"/>
    <s v="NG"/>
    <s v="S"/>
    <x v="1"/>
  </r>
  <r>
    <n v="39"/>
    <n v="2020"/>
    <x v="2"/>
    <s v="EN"/>
    <x v="0"/>
    <x v="0"/>
    <s v="Machine Learning Engineer"/>
    <n v="138000"/>
    <s v="USD"/>
    <n v="138000"/>
    <s v="US"/>
    <n v="100"/>
    <s v="US"/>
    <s v="S"/>
    <x v="1"/>
  </r>
  <r>
    <n v="40"/>
    <n v="2020"/>
    <x v="0"/>
    <s v="MI"/>
    <x v="0"/>
    <x v="0"/>
    <s v="Data Scientist"/>
    <n v="45760"/>
    <s v="USD"/>
    <n v="45760"/>
    <s v="PH"/>
    <n v="100"/>
    <s v="US"/>
    <s v="S"/>
    <x v="1"/>
  </r>
  <r>
    <n v="41"/>
    <n v="2020"/>
    <x v="3"/>
    <s v="EX"/>
    <x v="0"/>
    <x v="0"/>
    <s v="Data Engineering Manager"/>
    <n v="70000"/>
    <s v="EUR"/>
    <n v="79833"/>
    <s v="ES"/>
    <n v="50"/>
    <s v="ES"/>
    <s v="L"/>
    <x v="0"/>
  </r>
  <r>
    <n v="42"/>
    <n v="2020"/>
    <x v="0"/>
    <s v="MI"/>
    <x v="0"/>
    <x v="0"/>
    <s v="Machine Learning Infrastructure Engineer"/>
    <n v="44000"/>
    <s v="EUR"/>
    <n v="50180"/>
    <s v="PT"/>
    <n v="0"/>
    <s v="PT"/>
    <s v="M"/>
    <x v="2"/>
  </r>
  <r>
    <n v="43"/>
    <n v="2020"/>
    <x v="0"/>
    <s v="MI"/>
    <x v="0"/>
    <x v="0"/>
    <s v="Data Engineer"/>
    <n v="106000"/>
    <s v="USD"/>
    <n v="106000"/>
    <s v="US"/>
    <n v="100"/>
    <s v="US"/>
    <s v="L"/>
    <x v="0"/>
  </r>
  <r>
    <n v="44"/>
    <n v="2020"/>
    <x v="0"/>
    <s v="MI"/>
    <x v="0"/>
    <x v="0"/>
    <s v="Data Engineer"/>
    <n v="88000"/>
    <s v="GBP"/>
    <n v="112872"/>
    <s v="GB"/>
    <n v="50"/>
    <s v="GB"/>
    <s v="L"/>
    <x v="0"/>
  </r>
  <r>
    <n v="45"/>
    <n v="2020"/>
    <x v="2"/>
    <s v="EN"/>
    <x v="2"/>
    <x v="2"/>
    <s v="ML Engineer"/>
    <n v="14000"/>
    <s v="EUR"/>
    <n v="15966"/>
    <s v="DE"/>
    <n v="100"/>
    <s v="DE"/>
    <s v="S"/>
    <x v="1"/>
  </r>
  <r>
    <n v="46"/>
    <n v="2020"/>
    <x v="0"/>
    <s v="MI"/>
    <x v="0"/>
    <x v="0"/>
    <s v="Data Scientist"/>
    <n v="60000"/>
    <s v="GBP"/>
    <n v="76958"/>
    <s v="GB"/>
    <n v="100"/>
    <s v="GB"/>
    <s v="S"/>
    <x v="1"/>
  </r>
  <r>
    <n v="47"/>
    <n v="2020"/>
    <x v="1"/>
    <s v="SE"/>
    <x v="0"/>
    <x v="0"/>
    <s v="Data Engineer"/>
    <n v="188000"/>
    <s v="USD"/>
    <n v="188000"/>
    <s v="US"/>
    <n v="100"/>
    <s v="US"/>
    <s v="L"/>
    <x v="0"/>
  </r>
  <r>
    <n v="48"/>
    <n v="2020"/>
    <x v="0"/>
    <s v="MI"/>
    <x v="0"/>
    <x v="0"/>
    <s v="Data Scientist"/>
    <n v="105000"/>
    <s v="USD"/>
    <n v="105000"/>
    <s v="US"/>
    <n v="100"/>
    <s v="US"/>
    <s v="L"/>
    <x v="0"/>
  </r>
  <r>
    <n v="49"/>
    <n v="2020"/>
    <x v="0"/>
    <s v="MI"/>
    <x v="0"/>
    <x v="0"/>
    <s v="Data Engineer"/>
    <n v="61500"/>
    <s v="EUR"/>
    <n v="70139"/>
    <s v="FR"/>
    <n v="50"/>
    <s v="FR"/>
    <s v="L"/>
    <x v="0"/>
  </r>
  <r>
    <n v="50"/>
    <n v="2020"/>
    <x v="2"/>
    <s v="EN"/>
    <x v="0"/>
    <x v="0"/>
    <s v="Data Analyst"/>
    <n v="450000"/>
    <s v="INR"/>
    <n v="6072"/>
    <s v="IN"/>
    <n v="0"/>
    <s v="IN"/>
    <s v="S"/>
    <x v="1"/>
  </r>
  <r>
    <n v="51"/>
    <n v="2020"/>
    <x v="2"/>
    <s v="EN"/>
    <x v="0"/>
    <x v="0"/>
    <s v="Data Analyst"/>
    <n v="91000"/>
    <s v="USD"/>
    <n v="91000"/>
    <s v="US"/>
    <n v="100"/>
    <s v="US"/>
    <s v="L"/>
    <x v="0"/>
  </r>
  <r>
    <n v="52"/>
    <n v="2020"/>
    <x v="2"/>
    <s v="EN"/>
    <x v="0"/>
    <x v="0"/>
    <s v="AI Scientist"/>
    <n v="300000"/>
    <s v="DKK"/>
    <n v="45896"/>
    <s v="DK"/>
    <n v="50"/>
    <s v="DK"/>
    <s v="S"/>
    <x v="1"/>
  </r>
  <r>
    <n v="53"/>
    <n v="2020"/>
    <x v="2"/>
    <s v="EN"/>
    <x v="0"/>
    <x v="0"/>
    <s v="Data Engineer"/>
    <n v="48000"/>
    <s v="EUR"/>
    <n v="54742"/>
    <s v="PK"/>
    <n v="100"/>
    <s v="DE"/>
    <s v="L"/>
    <x v="0"/>
  </r>
  <r>
    <n v="54"/>
    <n v="2020"/>
    <x v="1"/>
    <s v="SE"/>
    <x v="3"/>
    <x v="3"/>
    <s v="Computer Vision Engineer"/>
    <n v="60000"/>
    <s v="USD"/>
    <n v="60000"/>
    <s v="RU"/>
    <n v="100"/>
    <s v="US"/>
    <s v="S"/>
    <x v="1"/>
  </r>
  <r>
    <n v="55"/>
    <n v="2020"/>
    <x v="1"/>
    <s v="SE"/>
    <x v="0"/>
    <x v="0"/>
    <s v="Principal Data Scientist"/>
    <n v="130000"/>
    <s v="EUR"/>
    <n v="148261"/>
    <s v="DE"/>
    <n v="100"/>
    <s v="DE"/>
    <s v="M"/>
    <x v="2"/>
  </r>
  <r>
    <n v="56"/>
    <n v="2020"/>
    <x v="0"/>
    <s v="MI"/>
    <x v="0"/>
    <x v="0"/>
    <s v="Data Scientist"/>
    <n v="34000"/>
    <s v="EUR"/>
    <n v="38776"/>
    <s v="ES"/>
    <n v="100"/>
    <s v="ES"/>
    <s v="M"/>
    <x v="2"/>
  </r>
  <r>
    <n v="57"/>
    <n v="2020"/>
    <x v="0"/>
    <s v="MI"/>
    <x v="0"/>
    <x v="0"/>
    <s v="Data Scientist"/>
    <n v="118000"/>
    <s v="USD"/>
    <n v="118000"/>
    <s v="US"/>
    <n v="100"/>
    <s v="US"/>
    <s v="M"/>
    <x v="2"/>
  </r>
  <r>
    <n v="58"/>
    <n v="2020"/>
    <x v="1"/>
    <s v="SE"/>
    <x v="0"/>
    <x v="0"/>
    <s v="Data Scientist"/>
    <n v="120000"/>
    <s v="USD"/>
    <n v="120000"/>
    <s v="US"/>
    <n v="50"/>
    <s v="US"/>
    <s v="L"/>
    <x v="0"/>
  </r>
  <r>
    <n v="59"/>
    <n v="2020"/>
    <x v="0"/>
    <s v="MI"/>
    <x v="0"/>
    <x v="0"/>
    <s v="Data Scientist"/>
    <n v="138350"/>
    <s v="USD"/>
    <n v="138350"/>
    <s v="US"/>
    <n v="100"/>
    <s v="US"/>
    <s v="M"/>
    <x v="2"/>
  </r>
  <r>
    <n v="60"/>
    <n v="2020"/>
    <x v="0"/>
    <s v="MI"/>
    <x v="0"/>
    <x v="0"/>
    <s v="Data Engineer"/>
    <n v="110000"/>
    <s v="USD"/>
    <n v="110000"/>
    <s v="US"/>
    <n v="100"/>
    <s v="US"/>
    <s v="L"/>
    <x v="0"/>
  </r>
  <r>
    <n v="61"/>
    <n v="2020"/>
    <x v="0"/>
    <s v="MI"/>
    <x v="0"/>
    <x v="0"/>
    <s v="Data Engineer"/>
    <n v="130800"/>
    <s v="USD"/>
    <n v="130800"/>
    <s v="ES"/>
    <n v="100"/>
    <s v="US"/>
    <s v="M"/>
    <x v="2"/>
  </r>
  <r>
    <n v="62"/>
    <n v="2020"/>
    <x v="2"/>
    <s v="EN"/>
    <x v="2"/>
    <x v="2"/>
    <s v="Data Scientist"/>
    <n v="19000"/>
    <s v="EUR"/>
    <n v="21669"/>
    <s v="IT"/>
    <n v="50"/>
    <s v="IT"/>
    <s v="S"/>
    <x v="1"/>
  </r>
  <r>
    <n v="63"/>
    <n v="2020"/>
    <x v="1"/>
    <s v="SE"/>
    <x v="0"/>
    <x v="0"/>
    <s v="Data Scientist"/>
    <n v="412000"/>
    <s v="USD"/>
    <n v="412000"/>
    <s v="US"/>
    <n v="100"/>
    <s v="US"/>
    <s v="L"/>
    <x v="0"/>
  </r>
  <r>
    <n v="64"/>
    <n v="2020"/>
    <x v="1"/>
    <s v="SE"/>
    <x v="0"/>
    <x v="0"/>
    <s v="Machine Learning Engineer"/>
    <n v="40000"/>
    <s v="EUR"/>
    <n v="45618"/>
    <s v="HR"/>
    <n v="100"/>
    <s v="HR"/>
    <s v="S"/>
    <x v="1"/>
  </r>
  <r>
    <n v="65"/>
    <n v="2020"/>
    <x v="2"/>
    <s v="EN"/>
    <x v="0"/>
    <x v="0"/>
    <s v="Data Scientist"/>
    <n v="55000"/>
    <s v="EUR"/>
    <n v="62726"/>
    <s v="DE"/>
    <n v="50"/>
    <s v="DE"/>
    <s v="S"/>
    <x v="1"/>
  </r>
  <r>
    <n v="66"/>
    <n v="2020"/>
    <x v="2"/>
    <s v="EN"/>
    <x v="0"/>
    <x v="0"/>
    <s v="Data Scientist"/>
    <n v="43200"/>
    <s v="EUR"/>
    <n v="49268"/>
    <s v="DE"/>
    <n v="0"/>
    <s v="DE"/>
    <s v="S"/>
    <x v="1"/>
  </r>
  <r>
    <n v="67"/>
    <n v="2020"/>
    <x v="1"/>
    <s v="SE"/>
    <x v="0"/>
    <x v="0"/>
    <s v="Data Science Manager"/>
    <n v="190200"/>
    <s v="USD"/>
    <n v="190200"/>
    <s v="US"/>
    <n v="100"/>
    <s v="US"/>
    <s v="M"/>
    <x v="2"/>
  </r>
  <r>
    <n v="68"/>
    <n v="2020"/>
    <x v="2"/>
    <s v="EN"/>
    <x v="0"/>
    <x v="0"/>
    <s v="Data Scientist"/>
    <n v="105000"/>
    <s v="USD"/>
    <n v="105000"/>
    <s v="US"/>
    <n v="100"/>
    <s v="US"/>
    <s v="S"/>
    <x v="1"/>
  </r>
  <r>
    <n v="69"/>
    <n v="2020"/>
    <x v="1"/>
    <s v="SE"/>
    <x v="0"/>
    <x v="0"/>
    <s v="Data Scientist"/>
    <n v="80000"/>
    <s v="EUR"/>
    <n v="91237"/>
    <s v="AT"/>
    <n v="0"/>
    <s v="AT"/>
    <s v="S"/>
    <x v="1"/>
  </r>
  <r>
    <n v="70"/>
    <n v="2020"/>
    <x v="0"/>
    <s v="MI"/>
    <x v="0"/>
    <x v="0"/>
    <s v="Data Scientist"/>
    <n v="55000"/>
    <s v="EUR"/>
    <n v="62726"/>
    <s v="FR"/>
    <n v="50"/>
    <s v="LU"/>
    <s v="S"/>
    <x v="1"/>
  </r>
  <r>
    <n v="71"/>
    <n v="2020"/>
    <x v="0"/>
    <s v="MI"/>
    <x v="0"/>
    <x v="0"/>
    <s v="Data Scientist"/>
    <n v="37000"/>
    <s v="EUR"/>
    <n v="42197"/>
    <s v="FR"/>
    <n v="50"/>
    <s v="FR"/>
    <s v="S"/>
    <x v="1"/>
  </r>
  <r>
    <n v="72"/>
    <n v="2021"/>
    <x v="2"/>
    <s v="EN"/>
    <x v="0"/>
    <x v="0"/>
    <s v="Research Scientist"/>
    <n v="60000"/>
    <s v="GBP"/>
    <n v="82528"/>
    <s v="GB"/>
    <n v="50"/>
    <s v="GB"/>
    <s v="L"/>
    <x v="0"/>
  </r>
  <r>
    <n v="73"/>
    <n v="2021"/>
    <x v="3"/>
    <s v="EX"/>
    <x v="0"/>
    <x v="0"/>
    <s v="BI Data Analyst"/>
    <n v="150000"/>
    <s v="USD"/>
    <n v="150000"/>
    <s v="IN"/>
    <n v="100"/>
    <s v="US"/>
    <s v="L"/>
    <x v="0"/>
  </r>
  <r>
    <n v="74"/>
    <n v="2021"/>
    <x v="3"/>
    <s v="EX"/>
    <x v="0"/>
    <x v="0"/>
    <s v="Head of Data"/>
    <n v="235000"/>
    <s v="USD"/>
    <n v="235000"/>
    <s v="US"/>
    <n v="100"/>
    <s v="US"/>
    <s v="L"/>
    <x v="0"/>
  </r>
  <r>
    <n v="75"/>
    <n v="2021"/>
    <x v="1"/>
    <s v="SE"/>
    <x v="0"/>
    <x v="0"/>
    <s v="Data Scientist"/>
    <n v="45000"/>
    <s v="EUR"/>
    <n v="53192"/>
    <s v="FR"/>
    <n v="50"/>
    <s v="FR"/>
    <s v="L"/>
    <x v="0"/>
  </r>
  <r>
    <n v="76"/>
    <n v="2021"/>
    <x v="0"/>
    <s v="MI"/>
    <x v="0"/>
    <x v="0"/>
    <s v="BI Data Analyst"/>
    <n v="100000"/>
    <s v="USD"/>
    <n v="100000"/>
    <s v="US"/>
    <n v="100"/>
    <s v="US"/>
    <s v="M"/>
    <x v="2"/>
  </r>
  <r>
    <n v="77"/>
    <n v="2021"/>
    <x v="0"/>
    <s v="MI"/>
    <x v="2"/>
    <x v="2"/>
    <s v="3D Computer Vision Researcher"/>
    <n v="400000"/>
    <s v="INR"/>
    <n v="5409"/>
    <s v="IN"/>
    <n v="50"/>
    <s v="IN"/>
    <s v="M"/>
    <x v="2"/>
  </r>
  <r>
    <n v="78"/>
    <n v="2021"/>
    <x v="0"/>
    <s v="MI"/>
    <x v="1"/>
    <x v="1"/>
    <s v="ML Engineer"/>
    <n v="270000"/>
    <s v="USD"/>
    <n v="270000"/>
    <s v="US"/>
    <n v="100"/>
    <s v="US"/>
    <s v="L"/>
    <x v="0"/>
  </r>
  <r>
    <n v="79"/>
    <n v="2021"/>
    <x v="2"/>
    <s v="EN"/>
    <x v="0"/>
    <x v="0"/>
    <s v="Data Analyst"/>
    <n v="80000"/>
    <s v="USD"/>
    <n v="80000"/>
    <s v="US"/>
    <n v="100"/>
    <s v="US"/>
    <s v="M"/>
    <x v="2"/>
  </r>
  <r>
    <n v="80"/>
    <n v="2021"/>
    <x v="1"/>
    <s v="SE"/>
    <x v="0"/>
    <x v="0"/>
    <s v="Data Analytics Engineer"/>
    <n v="67000"/>
    <s v="EUR"/>
    <n v="79197"/>
    <s v="DE"/>
    <n v="100"/>
    <s v="DE"/>
    <s v="L"/>
    <x v="0"/>
  </r>
  <r>
    <n v="81"/>
    <n v="2021"/>
    <x v="0"/>
    <s v="MI"/>
    <x v="0"/>
    <x v="0"/>
    <s v="Data Engineer"/>
    <n v="140000"/>
    <s v="USD"/>
    <n v="140000"/>
    <s v="US"/>
    <n v="100"/>
    <s v="US"/>
    <s v="L"/>
    <x v="0"/>
  </r>
  <r>
    <n v="82"/>
    <n v="2021"/>
    <x v="0"/>
    <s v="MI"/>
    <x v="0"/>
    <x v="0"/>
    <s v="Applied Data Scientist"/>
    <n v="68000"/>
    <s v="CAD"/>
    <n v="54238"/>
    <s v="GB"/>
    <n v="50"/>
    <s v="CA"/>
    <s v="L"/>
    <x v="0"/>
  </r>
  <r>
    <n v="83"/>
    <n v="2021"/>
    <x v="0"/>
    <s v="MI"/>
    <x v="0"/>
    <x v="0"/>
    <s v="Machine Learning Engineer"/>
    <n v="40000"/>
    <s v="EUR"/>
    <n v="47282"/>
    <s v="ES"/>
    <n v="100"/>
    <s v="ES"/>
    <s v="S"/>
    <x v="1"/>
  </r>
  <r>
    <n v="84"/>
    <n v="2021"/>
    <x v="3"/>
    <s v="EX"/>
    <x v="0"/>
    <x v="0"/>
    <s v="Director of Data Science"/>
    <n v="130000"/>
    <s v="EUR"/>
    <n v="153667"/>
    <s v="IT"/>
    <n v="100"/>
    <s v="PL"/>
    <s v="L"/>
    <x v="0"/>
  </r>
  <r>
    <n v="85"/>
    <n v="2021"/>
    <x v="0"/>
    <s v="MI"/>
    <x v="0"/>
    <x v="0"/>
    <s v="Data Engineer"/>
    <n v="110000"/>
    <s v="PLN"/>
    <n v="28476"/>
    <s v="PL"/>
    <n v="100"/>
    <s v="PL"/>
    <s v="L"/>
    <x v="0"/>
  </r>
  <r>
    <n v="86"/>
    <n v="2021"/>
    <x v="2"/>
    <s v="EN"/>
    <x v="0"/>
    <x v="0"/>
    <s v="Data Analyst"/>
    <n v="50000"/>
    <s v="EUR"/>
    <n v="59102"/>
    <s v="FR"/>
    <n v="50"/>
    <s v="FR"/>
    <s v="M"/>
    <x v="2"/>
  </r>
  <r>
    <n v="87"/>
    <n v="2021"/>
    <x v="0"/>
    <s v="MI"/>
    <x v="0"/>
    <x v="0"/>
    <s v="Data Analytics Engineer"/>
    <n v="110000"/>
    <s v="USD"/>
    <n v="110000"/>
    <s v="US"/>
    <n v="100"/>
    <s v="US"/>
    <s v="L"/>
    <x v="0"/>
  </r>
  <r>
    <n v="88"/>
    <n v="2021"/>
    <x v="1"/>
    <s v="SE"/>
    <x v="0"/>
    <x v="0"/>
    <s v="Lead Data Analyst"/>
    <n v="170000"/>
    <s v="USD"/>
    <n v="170000"/>
    <s v="US"/>
    <n v="100"/>
    <s v="US"/>
    <s v="L"/>
    <x v="0"/>
  </r>
  <r>
    <n v="89"/>
    <n v="2021"/>
    <x v="1"/>
    <s v="SE"/>
    <x v="0"/>
    <x v="0"/>
    <s v="Data Analyst"/>
    <n v="80000"/>
    <s v="USD"/>
    <n v="80000"/>
    <s v="BG"/>
    <n v="100"/>
    <s v="US"/>
    <s v="S"/>
    <x v="1"/>
  </r>
  <r>
    <n v="90"/>
    <n v="2021"/>
    <x v="1"/>
    <s v="SE"/>
    <x v="0"/>
    <x v="0"/>
    <s v="Marketing Data Analyst"/>
    <n v="75000"/>
    <s v="EUR"/>
    <n v="88654"/>
    <s v="GR"/>
    <n v="100"/>
    <s v="DK"/>
    <s v="L"/>
    <x v="0"/>
  </r>
  <r>
    <n v="91"/>
    <n v="2021"/>
    <x v="2"/>
    <s v="EN"/>
    <x v="0"/>
    <x v="0"/>
    <s v="Data Science Consultant"/>
    <n v="65000"/>
    <s v="EUR"/>
    <n v="76833"/>
    <s v="DE"/>
    <n v="100"/>
    <s v="DE"/>
    <s v="S"/>
    <x v="1"/>
  </r>
  <r>
    <n v="92"/>
    <n v="2021"/>
    <x v="0"/>
    <s v="MI"/>
    <x v="0"/>
    <x v="0"/>
    <s v="Lead Data Analyst"/>
    <n v="1450000"/>
    <s v="INR"/>
    <n v="19609"/>
    <s v="IN"/>
    <n v="100"/>
    <s v="IN"/>
    <s v="L"/>
    <x v="0"/>
  </r>
  <r>
    <n v="93"/>
    <n v="2021"/>
    <x v="1"/>
    <s v="SE"/>
    <x v="0"/>
    <x v="0"/>
    <s v="Lead Data Engineer"/>
    <n v="276000"/>
    <s v="USD"/>
    <n v="276000"/>
    <s v="US"/>
    <n v="0"/>
    <s v="US"/>
    <s v="L"/>
    <x v="0"/>
  </r>
  <r>
    <n v="94"/>
    <n v="2021"/>
    <x v="2"/>
    <s v="EN"/>
    <x v="0"/>
    <x v="0"/>
    <s v="Data Scientist"/>
    <n v="2200000"/>
    <s v="INR"/>
    <n v="29751"/>
    <s v="IN"/>
    <n v="50"/>
    <s v="IN"/>
    <s v="L"/>
    <x v="0"/>
  </r>
  <r>
    <n v="95"/>
    <n v="2021"/>
    <x v="0"/>
    <s v="MI"/>
    <x v="0"/>
    <x v="0"/>
    <s v="Cloud Data Engineer"/>
    <n v="120000"/>
    <s v="SGD"/>
    <n v="89294"/>
    <s v="SG"/>
    <n v="50"/>
    <s v="SG"/>
    <s v="L"/>
    <x v="0"/>
  </r>
  <r>
    <n v="96"/>
    <n v="2021"/>
    <x v="2"/>
    <s v="EN"/>
    <x v="2"/>
    <x v="2"/>
    <s v="AI Scientist"/>
    <n v="12000"/>
    <s v="USD"/>
    <n v="12000"/>
    <s v="BR"/>
    <n v="100"/>
    <s v="US"/>
    <s v="S"/>
    <x v="1"/>
  </r>
  <r>
    <n v="97"/>
    <n v="2021"/>
    <x v="0"/>
    <s v="MI"/>
    <x v="0"/>
    <x v="0"/>
    <s v="Financial Data Analyst"/>
    <n v="450000"/>
    <s v="USD"/>
    <n v="450000"/>
    <s v="US"/>
    <n v="100"/>
    <s v="US"/>
    <s v="L"/>
    <x v="0"/>
  </r>
  <r>
    <n v="98"/>
    <n v="2021"/>
    <x v="2"/>
    <s v="EN"/>
    <x v="0"/>
    <x v="0"/>
    <s v="Computer Vision Software Engineer"/>
    <n v="70000"/>
    <s v="USD"/>
    <n v="70000"/>
    <s v="US"/>
    <n v="100"/>
    <s v="US"/>
    <s v="M"/>
    <x v="2"/>
  </r>
  <r>
    <n v="99"/>
    <n v="2021"/>
    <x v="0"/>
    <s v="MI"/>
    <x v="0"/>
    <x v="0"/>
    <s v="Computer Vision Software Engineer"/>
    <n v="81000"/>
    <s v="EUR"/>
    <n v="95746"/>
    <s v="DE"/>
    <n v="100"/>
    <s v="US"/>
    <s v="S"/>
    <x v="1"/>
  </r>
  <r>
    <n v="100"/>
    <n v="2021"/>
    <x v="0"/>
    <s v="MI"/>
    <x v="0"/>
    <x v="0"/>
    <s v="Data Analyst"/>
    <n v="75000"/>
    <s v="USD"/>
    <n v="75000"/>
    <s v="US"/>
    <n v="0"/>
    <s v="US"/>
    <s v="L"/>
    <x v="0"/>
  </r>
  <r>
    <n v="101"/>
    <n v="2021"/>
    <x v="1"/>
    <s v="SE"/>
    <x v="0"/>
    <x v="0"/>
    <s v="Data Engineer"/>
    <n v="150000"/>
    <s v="USD"/>
    <n v="150000"/>
    <s v="US"/>
    <n v="100"/>
    <s v="US"/>
    <s v="L"/>
    <x v="0"/>
  </r>
  <r>
    <n v="102"/>
    <n v="2021"/>
    <x v="0"/>
    <s v="MI"/>
    <x v="0"/>
    <x v="0"/>
    <s v="BI Data Analyst"/>
    <n v="11000000"/>
    <s v="HUF"/>
    <n v="36259"/>
    <s v="HU"/>
    <n v="50"/>
    <s v="US"/>
    <s v="L"/>
    <x v="0"/>
  </r>
  <r>
    <n v="103"/>
    <n v="2021"/>
    <x v="0"/>
    <s v="MI"/>
    <x v="0"/>
    <x v="0"/>
    <s v="Data Analyst"/>
    <n v="62000"/>
    <s v="USD"/>
    <n v="62000"/>
    <s v="US"/>
    <n v="0"/>
    <s v="US"/>
    <s v="L"/>
    <x v="0"/>
  </r>
  <r>
    <n v="104"/>
    <n v="2021"/>
    <x v="0"/>
    <s v="MI"/>
    <x v="0"/>
    <x v="0"/>
    <s v="Data Scientist"/>
    <n v="73000"/>
    <s v="USD"/>
    <n v="73000"/>
    <s v="US"/>
    <n v="0"/>
    <s v="US"/>
    <s v="L"/>
    <x v="0"/>
  </r>
  <r>
    <n v="105"/>
    <n v="2021"/>
    <x v="0"/>
    <s v="MI"/>
    <x v="0"/>
    <x v="0"/>
    <s v="Data Analyst"/>
    <n v="37456"/>
    <s v="GBP"/>
    <n v="51519"/>
    <s v="GB"/>
    <n v="50"/>
    <s v="GB"/>
    <s v="L"/>
    <x v="0"/>
  </r>
  <r>
    <n v="106"/>
    <n v="2021"/>
    <x v="0"/>
    <s v="MI"/>
    <x v="0"/>
    <x v="0"/>
    <s v="Research Scientist"/>
    <n v="235000"/>
    <s v="CAD"/>
    <n v="187442"/>
    <s v="CA"/>
    <n v="100"/>
    <s v="CA"/>
    <s v="L"/>
    <x v="0"/>
  </r>
  <r>
    <n v="107"/>
    <n v="2021"/>
    <x v="1"/>
    <s v="SE"/>
    <x v="0"/>
    <x v="0"/>
    <s v="Data Engineer"/>
    <n v="115000"/>
    <s v="USD"/>
    <n v="115000"/>
    <s v="US"/>
    <n v="100"/>
    <s v="US"/>
    <s v="S"/>
    <x v="1"/>
  </r>
  <r>
    <n v="108"/>
    <n v="2021"/>
    <x v="1"/>
    <s v="SE"/>
    <x v="0"/>
    <x v="0"/>
    <s v="Data Engineer"/>
    <n v="150000"/>
    <s v="USD"/>
    <n v="150000"/>
    <s v="US"/>
    <n v="100"/>
    <s v="US"/>
    <s v="M"/>
    <x v="2"/>
  </r>
  <r>
    <n v="109"/>
    <n v="2021"/>
    <x v="2"/>
    <s v="EN"/>
    <x v="0"/>
    <x v="0"/>
    <s v="Data Engineer"/>
    <n v="2250000"/>
    <s v="INR"/>
    <n v="30428"/>
    <s v="IN"/>
    <n v="100"/>
    <s v="IN"/>
    <s v="L"/>
    <x v="0"/>
  </r>
  <r>
    <n v="110"/>
    <n v="2021"/>
    <x v="1"/>
    <s v="SE"/>
    <x v="0"/>
    <x v="0"/>
    <s v="Machine Learning Engineer"/>
    <n v="80000"/>
    <s v="EUR"/>
    <n v="94564"/>
    <s v="DE"/>
    <n v="50"/>
    <s v="DE"/>
    <s v="L"/>
    <x v="0"/>
  </r>
  <r>
    <n v="111"/>
    <n v="2021"/>
    <x v="1"/>
    <s v="SE"/>
    <x v="0"/>
    <x v="0"/>
    <s v="Director of Data Engineering"/>
    <n v="82500"/>
    <s v="GBP"/>
    <n v="113476"/>
    <s v="GB"/>
    <n v="100"/>
    <s v="GB"/>
    <s v="M"/>
    <x v="2"/>
  </r>
  <r>
    <n v="112"/>
    <n v="2021"/>
    <x v="1"/>
    <s v="SE"/>
    <x v="0"/>
    <x v="0"/>
    <s v="Lead Data Engineer"/>
    <n v="75000"/>
    <s v="GBP"/>
    <n v="103160"/>
    <s v="GB"/>
    <n v="100"/>
    <s v="GB"/>
    <s v="S"/>
    <x v="1"/>
  </r>
  <r>
    <n v="113"/>
    <n v="2021"/>
    <x v="2"/>
    <s v="EN"/>
    <x v="2"/>
    <x v="2"/>
    <s v="AI Scientist"/>
    <n v="12000"/>
    <s v="USD"/>
    <n v="12000"/>
    <s v="PK"/>
    <n v="100"/>
    <s v="US"/>
    <s v="M"/>
    <x v="2"/>
  </r>
  <r>
    <n v="114"/>
    <n v="2021"/>
    <x v="0"/>
    <s v="MI"/>
    <x v="0"/>
    <x v="0"/>
    <s v="Data Engineer"/>
    <n v="38400"/>
    <s v="EUR"/>
    <n v="45391"/>
    <s v="NL"/>
    <n v="100"/>
    <s v="NL"/>
    <s v="L"/>
    <x v="0"/>
  </r>
  <r>
    <n v="115"/>
    <n v="2021"/>
    <x v="2"/>
    <s v="EN"/>
    <x v="0"/>
    <x v="0"/>
    <s v="Machine Learning Scientist"/>
    <n v="225000"/>
    <s v="USD"/>
    <n v="225000"/>
    <s v="US"/>
    <n v="100"/>
    <s v="US"/>
    <s v="L"/>
    <x v="0"/>
  </r>
  <r>
    <n v="116"/>
    <n v="2021"/>
    <x v="0"/>
    <s v="MI"/>
    <x v="0"/>
    <x v="0"/>
    <s v="Data Scientist"/>
    <n v="50000"/>
    <s v="USD"/>
    <n v="50000"/>
    <s v="NG"/>
    <n v="100"/>
    <s v="NG"/>
    <s v="L"/>
    <x v="0"/>
  </r>
  <r>
    <n v="117"/>
    <n v="2021"/>
    <x v="0"/>
    <s v="MI"/>
    <x v="0"/>
    <x v="0"/>
    <s v="Data Science Engineer"/>
    <n v="34000"/>
    <s v="EUR"/>
    <n v="40189"/>
    <s v="GR"/>
    <n v="100"/>
    <s v="GR"/>
    <s v="M"/>
    <x v="2"/>
  </r>
  <r>
    <n v="118"/>
    <n v="2021"/>
    <x v="2"/>
    <s v="EN"/>
    <x v="0"/>
    <x v="0"/>
    <s v="Data Analyst"/>
    <n v="90000"/>
    <s v="USD"/>
    <n v="90000"/>
    <s v="US"/>
    <n v="100"/>
    <s v="US"/>
    <s v="S"/>
    <x v="1"/>
  </r>
  <r>
    <n v="119"/>
    <n v="2021"/>
    <x v="0"/>
    <s v="MI"/>
    <x v="0"/>
    <x v="0"/>
    <s v="Data Engineer"/>
    <n v="200000"/>
    <s v="USD"/>
    <n v="200000"/>
    <s v="US"/>
    <n v="100"/>
    <s v="US"/>
    <s v="L"/>
    <x v="0"/>
  </r>
  <r>
    <n v="120"/>
    <n v="2021"/>
    <x v="0"/>
    <s v="MI"/>
    <x v="0"/>
    <x v="0"/>
    <s v="Big Data Engineer"/>
    <n v="60000"/>
    <s v="USD"/>
    <n v="60000"/>
    <s v="ES"/>
    <n v="50"/>
    <s v="RO"/>
    <s v="M"/>
    <x v="2"/>
  </r>
  <r>
    <n v="121"/>
    <n v="2021"/>
    <x v="1"/>
    <s v="SE"/>
    <x v="0"/>
    <x v="0"/>
    <s v="Principal Data Engineer"/>
    <n v="200000"/>
    <s v="USD"/>
    <n v="200000"/>
    <s v="US"/>
    <n v="100"/>
    <s v="US"/>
    <s v="M"/>
    <x v="2"/>
  </r>
  <r>
    <n v="122"/>
    <n v="2021"/>
    <x v="2"/>
    <s v="EN"/>
    <x v="0"/>
    <x v="0"/>
    <s v="Data Analyst"/>
    <n v="50000"/>
    <s v="USD"/>
    <n v="50000"/>
    <s v="US"/>
    <n v="100"/>
    <s v="US"/>
    <s v="M"/>
    <x v="2"/>
  </r>
  <r>
    <n v="123"/>
    <n v="2021"/>
    <x v="2"/>
    <s v="EN"/>
    <x v="0"/>
    <x v="0"/>
    <s v="Applied Data Scientist"/>
    <n v="80000"/>
    <s v="GBP"/>
    <n v="110037"/>
    <s v="GB"/>
    <n v="0"/>
    <s v="GB"/>
    <s v="L"/>
    <x v="0"/>
  </r>
  <r>
    <n v="124"/>
    <n v="2021"/>
    <x v="2"/>
    <s v="EN"/>
    <x v="2"/>
    <x v="2"/>
    <s v="Data Analyst"/>
    <n v="8760"/>
    <s v="EUR"/>
    <n v="10354"/>
    <s v="ES"/>
    <n v="50"/>
    <s v="ES"/>
    <s v="M"/>
    <x v="2"/>
  </r>
  <r>
    <n v="125"/>
    <n v="2021"/>
    <x v="0"/>
    <s v="MI"/>
    <x v="0"/>
    <x v="0"/>
    <s v="Principal Data Scientist"/>
    <n v="151000"/>
    <s v="USD"/>
    <n v="151000"/>
    <s v="US"/>
    <n v="100"/>
    <s v="US"/>
    <s v="L"/>
    <x v="0"/>
  </r>
  <r>
    <n v="126"/>
    <n v="2021"/>
    <x v="1"/>
    <s v="SE"/>
    <x v="0"/>
    <x v="0"/>
    <s v="Machine Learning Scientist"/>
    <n v="120000"/>
    <s v="USD"/>
    <n v="120000"/>
    <s v="US"/>
    <n v="50"/>
    <s v="US"/>
    <s v="S"/>
    <x v="1"/>
  </r>
  <r>
    <n v="127"/>
    <n v="2021"/>
    <x v="0"/>
    <s v="MI"/>
    <x v="0"/>
    <x v="0"/>
    <s v="Data Scientist"/>
    <n v="700000"/>
    <s v="INR"/>
    <n v="9466"/>
    <s v="IN"/>
    <n v="0"/>
    <s v="IN"/>
    <s v="S"/>
    <x v="1"/>
  </r>
  <r>
    <n v="128"/>
    <n v="2021"/>
    <x v="2"/>
    <s v="EN"/>
    <x v="0"/>
    <x v="0"/>
    <s v="Machine Learning Engineer"/>
    <n v="20000"/>
    <s v="USD"/>
    <n v="20000"/>
    <s v="IN"/>
    <n v="100"/>
    <s v="IN"/>
    <s v="S"/>
    <x v="1"/>
  </r>
  <r>
    <n v="129"/>
    <n v="2021"/>
    <x v="1"/>
    <s v="SE"/>
    <x v="0"/>
    <x v="0"/>
    <s v="Lead Data Scientist"/>
    <n v="3000000"/>
    <s v="INR"/>
    <n v="40570"/>
    <s v="IN"/>
    <n v="50"/>
    <s v="IN"/>
    <s v="L"/>
    <x v="0"/>
  </r>
  <r>
    <n v="130"/>
    <n v="2021"/>
    <x v="2"/>
    <s v="EN"/>
    <x v="0"/>
    <x v="0"/>
    <s v="Machine Learning Developer"/>
    <n v="100000"/>
    <s v="USD"/>
    <n v="100000"/>
    <s v="IQ"/>
    <n v="50"/>
    <s v="IQ"/>
    <s v="S"/>
    <x v="1"/>
  </r>
  <r>
    <n v="131"/>
    <n v="2021"/>
    <x v="2"/>
    <s v="EN"/>
    <x v="0"/>
    <x v="0"/>
    <s v="Data Scientist"/>
    <n v="42000"/>
    <s v="EUR"/>
    <n v="49646"/>
    <s v="FR"/>
    <n v="50"/>
    <s v="FR"/>
    <s v="M"/>
    <x v="2"/>
  </r>
  <r>
    <n v="132"/>
    <n v="2021"/>
    <x v="0"/>
    <s v="MI"/>
    <x v="0"/>
    <x v="0"/>
    <s v="Applied Machine Learning Scientist"/>
    <n v="38400"/>
    <s v="USD"/>
    <n v="38400"/>
    <s v="VN"/>
    <n v="100"/>
    <s v="US"/>
    <s v="M"/>
    <x v="2"/>
  </r>
  <r>
    <n v="133"/>
    <n v="2021"/>
    <x v="1"/>
    <s v="SE"/>
    <x v="0"/>
    <x v="0"/>
    <s v="Computer Vision Engineer"/>
    <n v="24000"/>
    <s v="USD"/>
    <n v="24000"/>
    <s v="BR"/>
    <n v="100"/>
    <s v="BR"/>
    <s v="M"/>
    <x v="2"/>
  </r>
  <r>
    <n v="134"/>
    <n v="2021"/>
    <x v="2"/>
    <s v="EN"/>
    <x v="0"/>
    <x v="0"/>
    <s v="Data Scientist"/>
    <n v="100000"/>
    <s v="USD"/>
    <n v="100000"/>
    <s v="US"/>
    <n v="0"/>
    <s v="US"/>
    <s v="S"/>
    <x v="1"/>
  </r>
  <r>
    <n v="135"/>
    <n v="2021"/>
    <x v="0"/>
    <s v="MI"/>
    <x v="0"/>
    <x v="0"/>
    <s v="Data Analyst"/>
    <n v="90000"/>
    <s v="USD"/>
    <n v="90000"/>
    <s v="US"/>
    <n v="100"/>
    <s v="US"/>
    <s v="M"/>
    <x v="2"/>
  </r>
  <r>
    <n v="136"/>
    <n v="2021"/>
    <x v="0"/>
    <s v="MI"/>
    <x v="0"/>
    <x v="0"/>
    <s v="ML Engineer"/>
    <n v="7000000"/>
    <s v="JPY"/>
    <n v="63711"/>
    <s v="JP"/>
    <n v="50"/>
    <s v="JP"/>
    <s v="S"/>
    <x v="1"/>
  </r>
  <r>
    <n v="137"/>
    <n v="2021"/>
    <x v="0"/>
    <s v="MI"/>
    <x v="0"/>
    <x v="0"/>
    <s v="ML Engineer"/>
    <n v="8500000"/>
    <s v="JPY"/>
    <n v="77364"/>
    <s v="JP"/>
    <n v="50"/>
    <s v="JP"/>
    <s v="S"/>
    <x v="1"/>
  </r>
  <r>
    <n v="138"/>
    <n v="2021"/>
    <x v="1"/>
    <s v="SE"/>
    <x v="0"/>
    <x v="0"/>
    <s v="Principal Data Scientist"/>
    <n v="220000"/>
    <s v="USD"/>
    <n v="220000"/>
    <s v="US"/>
    <n v="0"/>
    <s v="US"/>
    <s v="L"/>
    <x v="0"/>
  </r>
  <r>
    <n v="139"/>
    <n v="2021"/>
    <x v="2"/>
    <s v="EN"/>
    <x v="0"/>
    <x v="0"/>
    <s v="Data Scientist"/>
    <n v="80000"/>
    <s v="USD"/>
    <n v="80000"/>
    <s v="US"/>
    <n v="100"/>
    <s v="US"/>
    <s v="M"/>
    <x v="2"/>
  </r>
  <r>
    <n v="140"/>
    <n v="2021"/>
    <x v="0"/>
    <s v="MI"/>
    <x v="0"/>
    <x v="0"/>
    <s v="Data Analyst"/>
    <n v="135000"/>
    <s v="USD"/>
    <n v="135000"/>
    <s v="US"/>
    <n v="100"/>
    <s v="US"/>
    <s v="L"/>
    <x v="0"/>
  </r>
  <r>
    <n v="141"/>
    <n v="2021"/>
    <x v="1"/>
    <s v="SE"/>
    <x v="0"/>
    <x v="0"/>
    <s v="Data Science Manager"/>
    <n v="240000"/>
    <s v="USD"/>
    <n v="240000"/>
    <s v="US"/>
    <n v="0"/>
    <s v="US"/>
    <s v="L"/>
    <x v="0"/>
  </r>
  <r>
    <n v="142"/>
    <n v="2021"/>
    <x v="1"/>
    <s v="SE"/>
    <x v="0"/>
    <x v="0"/>
    <s v="Data Engineering Manager"/>
    <n v="150000"/>
    <s v="USD"/>
    <n v="150000"/>
    <s v="US"/>
    <n v="0"/>
    <s v="US"/>
    <s v="L"/>
    <x v="0"/>
  </r>
  <r>
    <n v="143"/>
    <n v="2021"/>
    <x v="0"/>
    <s v="MI"/>
    <x v="0"/>
    <x v="0"/>
    <s v="Data Scientist"/>
    <n v="82500"/>
    <s v="USD"/>
    <n v="82500"/>
    <s v="US"/>
    <n v="100"/>
    <s v="US"/>
    <s v="S"/>
    <x v="1"/>
  </r>
  <r>
    <n v="144"/>
    <n v="2021"/>
    <x v="0"/>
    <s v="MI"/>
    <x v="0"/>
    <x v="0"/>
    <s v="Data Engineer"/>
    <n v="100000"/>
    <s v="USD"/>
    <n v="100000"/>
    <s v="US"/>
    <n v="100"/>
    <s v="US"/>
    <s v="L"/>
    <x v="0"/>
  </r>
  <r>
    <n v="145"/>
    <n v="2021"/>
    <x v="1"/>
    <s v="SE"/>
    <x v="0"/>
    <x v="0"/>
    <s v="Machine Learning Engineer"/>
    <n v="70000"/>
    <s v="EUR"/>
    <n v="82744"/>
    <s v="BE"/>
    <n v="50"/>
    <s v="BE"/>
    <s v="M"/>
    <x v="2"/>
  </r>
  <r>
    <n v="146"/>
    <n v="2021"/>
    <x v="0"/>
    <s v="MI"/>
    <x v="0"/>
    <x v="0"/>
    <s v="Research Scientist"/>
    <n v="53000"/>
    <s v="EUR"/>
    <n v="62649"/>
    <s v="FR"/>
    <n v="50"/>
    <s v="FR"/>
    <s v="M"/>
    <x v="2"/>
  </r>
  <r>
    <n v="147"/>
    <n v="2021"/>
    <x v="0"/>
    <s v="MI"/>
    <x v="0"/>
    <x v="0"/>
    <s v="Data Engineer"/>
    <n v="90000"/>
    <s v="USD"/>
    <n v="90000"/>
    <s v="US"/>
    <n v="100"/>
    <s v="US"/>
    <s v="L"/>
    <x v="0"/>
  </r>
  <r>
    <n v="148"/>
    <n v="2021"/>
    <x v="1"/>
    <s v="SE"/>
    <x v="0"/>
    <x v="0"/>
    <s v="Data Engineering Manager"/>
    <n v="153000"/>
    <s v="USD"/>
    <n v="153000"/>
    <s v="US"/>
    <n v="100"/>
    <s v="US"/>
    <s v="L"/>
    <x v="0"/>
  </r>
  <r>
    <n v="149"/>
    <n v="2021"/>
    <x v="1"/>
    <s v="SE"/>
    <x v="0"/>
    <x v="0"/>
    <s v="Cloud Data Engineer"/>
    <n v="160000"/>
    <s v="USD"/>
    <n v="160000"/>
    <s v="BR"/>
    <n v="100"/>
    <s v="US"/>
    <s v="S"/>
    <x v="1"/>
  </r>
  <r>
    <n v="150"/>
    <n v="2021"/>
    <x v="1"/>
    <s v="SE"/>
    <x v="0"/>
    <x v="0"/>
    <s v="Director of Data Science"/>
    <n v="168000"/>
    <s v="USD"/>
    <n v="168000"/>
    <s v="JP"/>
    <n v="0"/>
    <s v="JP"/>
    <s v="S"/>
    <x v="1"/>
  </r>
  <r>
    <n v="151"/>
    <n v="2021"/>
    <x v="0"/>
    <s v="MI"/>
    <x v="0"/>
    <x v="0"/>
    <s v="Data Scientist"/>
    <n v="150000"/>
    <s v="USD"/>
    <n v="150000"/>
    <s v="US"/>
    <n v="100"/>
    <s v="US"/>
    <s v="M"/>
    <x v="2"/>
  </r>
  <r>
    <n v="152"/>
    <n v="2021"/>
    <x v="0"/>
    <s v="MI"/>
    <x v="0"/>
    <x v="0"/>
    <s v="Data Scientist"/>
    <n v="95000"/>
    <s v="CAD"/>
    <n v="75774"/>
    <s v="CA"/>
    <n v="100"/>
    <s v="CA"/>
    <s v="L"/>
    <x v="0"/>
  </r>
  <r>
    <n v="153"/>
    <n v="2021"/>
    <x v="2"/>
    <s v="EN"/>
    <x v="0"/>
    <x v="0"/>
    <s v="Data Scientist"/>
    <n v="13400"/>
    <s v="USD"/>
    <n v="13400"/>
    <s v="UA"/>
    <n v="100"/>
    <s v="UA"/>
    <s v="L"/>
    <x v="0"/>
  </r>
  <r>
    <n v="154"/>
    <n v="2021"/>
    <x v="1"/>
    <s v="SE"/>
    <x v="0"/>
    <x v="0"/>
    <s v="Data Science Manager"/>
    <n v="144000"/>
    <s v="USD"/>
    <n v="144000"/>
    <s v="US"/>
    <n v="100"/>
    <s v="US"/>
    <s v="L"/>
    <x v="0"/>
  </r>
  <r>
    <n v="155"/>
    <n v="2021"/>
    <x v="1"/>
    <s v="SE"/>
    <x v="0"/>
    <x v="0"/>
    <s v="Data Science Engineer"/>
    <n v="159500"/>
    <s v="CAD"/>
    <n v="127221"/>
    <s v="CA"/>
    <n v="50"/>
    <s v="CA"/>
    <s v="L"/>
    <x v="0"/>
  </r>
  <r>
    <n v="156"/>
    <n v="2021"/>
    <x v="0"/>
    <s v="MI"/>
    <x v="0"/>
    <x v="0"/>
    <s v="Data Scientist"/>
    <n v="160000"/>
    <s v="SGD"/>
    <n v="119059"/>
    <s v="SG"/>
    <n v="100"/>
    <s v="IL"/>
    <s v="M"/>
    <x v="2"/>
  </r>
  <r>
    <n v="157"/>
    <n v="2021"/>
    <x v="0"/>
    <s v="MI"/>
    <x v="0"/>
    <x v="0"/>
    <s v="Applied Machine Learning Scientist"/>
    <n v="423000"/>
    <s v="USD"/>
    <n v="423000"/>
    <s v="US"/>
    <n v="50"/>
    <s v="US"/>
    <s v="L"/>
    <x v="0"/>
  </r>
  <r>
    <n v="158"/>
    <n v="2021"/>
    <x v="1"/>
    <s v="SE"/>
    <x v="0"/>
    <x v="0"/>
    <s v="Data Analytics Manager"/>
    <n v="120000"/>
    <s v="USD"/>
    <n v="120000"/>
    <s v="US"/>
    <n v="100"/>
    <s v="US"/>
    <s v="M"/>
    <x v="2"/>
  </r>
  <r>
    <n v="159"/>
    <n v="2021"/>
    <x v="2"/>
    <s v="EN"/>
    <x v="0"/>
    <x v="0"/>
    <s v="Machine Learning Engineer"/>
    <n v="125000"/>
    <s v="USD"/>
    <n v="125000"/>
    <s v="US"/>
    <n v="100"/>
    <s v="US"/>
    <s v="S"/>
    <x v="1"/>
  </r>
  <r>
    <n v="160"/>
    <n v="2021"/>
    <x v="3"/>
    <s v="EX"/>
    <x v="0"/>
    <x v="0"/>
    <s v="Head of Data"/>
    <n v="230000"/>
    <s v="USD"/>
    <n v="230000"/>
    <s v="RU"/>
    <n v="50"/>
    <s v="RU"/>
    <s v="L"/>
    <x v="0"/>
  </r>
  <r>
    <n v="161"/>
    <n v="2021"/>
    <x v="3"/>
    <s v="EX"/>
    <x v="0"/>
    <x v="0"/>
    <s v="Head of Data Science"/>
    <n v="85000"/>
    <s v="USD"/>
    <n v="85000"/>
    <s v="RU"/>
    <n v="0"/>
    <s v="RU"/>
    <s v="M"/>
    <x v="2"/>
  </r>
  <r>
    <n v="162"/>
    <n v="2021"/>
    <x v="0"/>
    <s v="MI"/>
    <x v="0"/>
    <x v="0"/>
    <s v="Data Engineer"/>
    <n v="24000"/>
    <s v="EUR"/>
    <n v="28369"/>
    <s v="MT"/>
    <n v="50"/>
    <s v="MT"/>
    <s v="L"/>
    <x v="0"/>
  </r>
  <r>
    <n v="163"/>
    <n v="2021"/>
    <x v="2"/>
    <s v="EN"/>
    <x v="0"/>
    <x v="0"/>
    <s v="Data Science Consultant"/>
    <n v="54000"/>
    <s v="EUR"/>
    <n v="63831"/>
    <s v="DE"/>
    <n v="50"/>
    <s v="DE"/>
    <s v="L"/>
    <x v="0"/>
  </r>
  <r>
    <n v="164"/>
    <n v="2021"/>
    <x v="3"/>
    <s v="EX"/>
    <x v="0"/>
    <x v="0"/>
    <s v="Director of Data Science"/>
    <n v="110000"/>
    <s v="EUR"/>
    <n v="130026"/>
    <s v="DE"/>
    <n v="50"/>
    <s v="DE"/>
    <s v="M"/>
    <x v="2"/>
  </r>
  <r>
    <n v="165"/>
    <n v="2021"/>
    <x v="1"/>
    <s v="SE"/>
    <x v="0"/>
    <x v="0"/>
    <s v="Data Specialist"/>
    <n v="165000"/>
    <s v="USD"/>
    <n v="165000"/>
    <s v="US"/>
    <n v="100"/>
    <s v="US"/>
    <s v="L"/>
    <x v="0"/>
  </r>
  <r>
    <n v="166"/>
    <n v="2021"/>
    <x v="2"/>
    <s v="EN"/>
    <x v="0"/>
    <x v="0"/>
    <s v="Data Engineer"/>
    <n v="80000"/>
    <s v="USD"/>
    <n v="80000"/>
    <s v="US"/>
    <n v="100"/>
    <s v="US"/>
    <s v="L"/>
    <x v="0"/>
  </r>
  <r>
    <n v="167"/>
    <n v="2021"/>
    <x v="3"/>
    <s v="EX"/>
    <x v="0"/>
    <x v="0"/>
    <s v="Director of Data Science"/>
    <n v="250000"/>
    <s v="USD"/>
    <n v="250000"/>
    <s v="US"/>
    <n v="0"/>
    <s v="US"/>
    <s v="L"/>
    <x v="0"/>
  </r>
  <r>
    <n v="168"/>
    <n v="2021"/>
    <x v="2"/>
    <s v="EN"/>
    <x v="0"/>
    <x v="0"/>
    <s v="BI Data Analyst"/>
    <n v="55000"/>
    <s v="USD"/>
    <n v="55000"/>
    <s v="US"/>
    <n v="50"/>
    <s v="US"/>
    <s v="S"/>
    <x v="1"/>
  </r>
  <r>
    <n v="169"/>
    <n v="2021"/>
    <x v="0"/>
    <s v="MI"/>
    <x v="0"/>
    <x v="0"/>
    <s v="Data Architect"/>
    <n v="150000"/>
    <s v="USD"/>
    <n v="150000"/>
    <s v="US"/>
    <n v="100"/>
    <s v="US"/>
    <s v="L"/>
    <x v="0"/>
  </r>
  <r>
    <n v="170"/>
    <n v="2021"/>
    <x v="0"/>
    <s v="MI"/>
    <x v="0"/>
    <x v="0"/>
    <s v="Data Architect"/>
    <n v="170000"/>
    <s v="USD"/>
    <n v="170000"/>
    <s v="US"/>
    <n v="100"/>
    <s v="US"/>
    <s v="L"/>
    <x v="0"/>
  </r>
  <r>
    <n v="171"/>
    <n v="2021"/>
    <x v="0"/>
    <s v="MI"/>
    <x v="0"/>
    <x v="0"/>
    <s v="Data Engineer"/>
    <n v="60000"/>
    <s v="GBP"/>
    <n v="82528"/>
    <s v="GB"/>
    <n v="100"/>
    <s v="GB"/>
    <s v="L"/>
    <x v="0"/>
  </r>
  <r>
    <n v="172"/>
    <n v="2021"/>
    <x v="2"/>
    <s v="EN"/>
    <x v="0"/>
    <x v="0"/>
    <s v="Data Analyst"/>
    <n v="60000"/>
    <s v="USD"/>
    <n v="60000"/>
    <s v="US"/>
    <n v="100"/>
    <s v="US"/>
    <s v="S"/>
    <x v="1"/>
  </r>
  <r>
    <n v="173"/>
    <n v="2021"/>
    <x v="1"/>
    <s v="SE"/>
    <x v="0"/>
    <x v="0"/>
    <s v="Principal Data Scientist"/>
    <n v="235000"/>
    <s v="USD"/>
    <n v="235000"/>
    <s v="US"/>
    <n v="100"/>
    <s v="US"/>
    <s v="L"/>
    <x v="0"/>
  </r>
  <r>
    <n v="174"/>
    <n v="2021"/>
    <x v="1"/>
    <s v="SE"/>
    <x v="0"/>
    <x v="0"/>
    <s v="Research Scientist"/>
    <n v="51400"/>
    <s v="EUR"/>
    <n v="60757"/>
    <s v="PT"/>
    <n v="50"/>
    <s v="PT"/>
    <s v="L"/>
    <x v="0"/>
  </r>
  <r>
    <n v="175"/>
    <n v="2021"/>
    <x v="1"/>
    <s v="SE"/>
    <x v="0"/>
    <x v="0"/>
    <s v="Data Engineering Manager"/>
    <n v="174000"/>
    <s v="USD"/>
    <n v="174000"/>
    <s v="US"/>
    <n v="100"/>
    <s v="US"/>
    <s v="L"/>
    <x v="0"/>
  </r>
  <r>
    <n v="176"/>
    <n v="2021"/>
    <x v="0"/>
    <s v="MI"/>
    <x v="0"/>
    <x v="0"/>
    <s v="Data Scientist"/>
    <n v="58000"/>
    <s v="MXN"/>
    <n v="2859"/>
    <s v="MX"/>
    <n v="0"/>
    <s v="MX"/>
    <s v="S"/>
    <x v="1"/>
  </r>
  <r>
    <n v="177"/>
    <n v="2021"/>
    <x v="0"/>
    <s v="MI"/>
    <x v="0"/>
    <x v="0"/>
    <s v="Data Scientist"/>
    <n v="30400000"/>
    <s v="CLP"/>
    <n v="40038"/>
    <s v="CL"/>
    <n v="100"/>
    <s v="CL"/>
    <s v="L"/>
    <x v="0"/>
  </r>
  <r>
    <n v="178"/>
    <n v="2021"/>
    <x v="2"/>
    <s v="EN"/>
    <x v="0"/>
    <x v="0"/>
    <s v="Machine Learning Engineer"/>
    <n v="81000"/>
    <s v="USD"/>
    <n v="81000"/>
    <s v="US"/>
    <n v="50"/>
    <s v="US"/>
    <s v="S"/>
    <x v="1"/>
  </r>
  <r>
    <n v="179"/>
    <n v="2021"/>
    <x v="0"/>
    <s v="MI"/>
    <x v="0"/>
    <x v="0"/>
    <s v="Data Scientist"/>
    <n v="420000"/>
    <s v="INR"/>
    <n v="5679"/>
    <s v="IN"/>
    <n v="100"/>
    <s v="US"/>
    <s v="S"/>
    <x v="1"/>
  </r>
  <r>
    <n v="180"/>
    <n v="2021"/>
    <x v="0"/>
    <s v="MI"/>
    <x v="0"/>
    <x v="0"/>
    <s v="Big Data Engineer"/>
    <n v="1672000"/>
    <s v="INR"/>
    <n v="22611"/>
    <s v="IN"/>
    <n v="0"/>
    <s v="IN"/>
    <s v="L"/>
    <x v="0"/>
  </r>
  <r>
    <n v="181"/>
    <n v="2021"/>
    <x v="0"/>
    <s v="MI"/>
    <x v="0"/>
    <x v="0"/>
    <s v="Data Scientist"/>
    <n v="76760"/>
    <s v="EUR"/>
    <n v="90734"/>
    <s v="DE"/>
    <n v="50"/>
    <s v="DE"/>
    <s v="L"/>
    <x v="0"/>
  </r>
  <r>
    <n v="182"/>
    <n v="2021"/>
    <x v="0"/>
    <s v="MI"/>
    <x v="0"/>
    <x v="0"/>
    <s v="Data Engineer"/>
    <n v="22000"/>
    <s v="EUR"/>
    <n v="26005"/>
    <s v="RO"/>
    <n v="0"/>
    <s v="US"/>
    <s v="L"/>
    <x v="0"/>
  </r>
  <r>
    <n v="183"/>
    <n v="2021"/>
    <x v="1"/>
    <s v="SE"/>
    <x v="0"/>
    <x v="0"/>
    <s v="Finance Data Analyst"/>
    <n v="45000"/>
    <s v="GBP"/>
    <n v="61896"/>
    <s v="GB"/>
    <n v="50"/>
    <s v="GB"/>
    <s v="L"/>
    <x v="0"/>
  </r>
  <r>
    <n v="184"/>
    <n v="2021"/>
    <x v="0"/>
    <s v="MI"/>
    <x v="3"/>
    <x v="3"/>
    <s v="Machine Learning Scientist"/>
    <n v="12000"/>
    <s v="USD"/>
    <n v="12000"/>
    <s v="PK"/>
    <n v="50"/>
    <s v="PK"/>
    <s v="M"/>
    <x v="2"/>
  </r>
  <r>
    <n v="185"/>
    <n v="2021"/>
    <x v="0"/>
    <s v="MI"/>
    <x v="0"/>
    <x v="0"/>
    <s v="Data Engineer"/>
    <n v="4000"/>
    <s v="USD"/>
    <n v="4000"/>
    <s v="IR"/>
    <n v="100"/>
    <s v="IR"/>
    <s v="M"/>
    <x v="2"/>
  </r>
  <r>
    <n v="186"/>
    <n v="2021"/>
    <x v="1"/>
    <s v="SE"/>
    <x v="0"/>
    <x v="0"/>
    <s v="Data Analytics Engineer"/>
    <n v="50000"/>
    <s v="USD"/>
    <n v="50000"/>
    <s v="VN"/>
    <n v="100"/>
    <s v="GB"/>
    <s v="M"/>
    <x v="2"/>
  </r>
  <r>
    <n v="187"/>
    <n v="2021"/>
    <x v="3"/>
    <s v="EX"/>
    <x v="0"/>
    <x v="0"/>
    <s v="Data Science Consultant"/>
    <n v="59000"/>
    <s v="EUR"/>
    <n v="69741"/>
    <s v="FR"/>
    <n v="100"/>
    <s v="ES"/>
    <s v="S"/>
    <x v="1"/>
  </r>
  <r>
    <n v="188"/>
    <n v="2021"/>
    <x v="1"/>
    <s v="SE"/>
    <x v="0"/>
    <x v="0"/>
    <s v="Data Engineer"/>
    <n v="65000"/>
    <s v="EUR"/>
    <n v="76833"/>
    <s v="RO"/>
    <n v="50"/>
    <s v="GB"/>
    <s v="S"/>
    <x v="1"/>
  </r>
  <r>
    <n v="189"/>
    <n v="2021"/>
    <x v="0"/>
    <s v="MI"/>
    <x v="0"/>
    <x v="0"/>
    <s v="Machine Learning Engineer"/>
    <n v="74000"/>
    <s v="USD"/>
    <n v="74000"/>
    <s v="JP"/>
    <n v="50"/>
    <s v="JP"/>
    <s v="S"/>
    <x v="1"/>
  </r>
  <r>
    <n v="190"/>
    <n v="2021"/>
    <x v="1"/>
    <s v="SE"/>
    <x v="0"/>
    <x v="0"/>
    <s v="Data Science Manager"/>
    <n v="152000"/>
    <s v="USD"/>
    <n v="152000"/>
    <s v="US"/>
    <n v="100"/>
    <s v="FR"/>
    <s v="L"/>
    <x v="0"/>
  </r>
  <r>
    <n v="191"/>
    <n v="2021"/>
    <x v="2"/>
    <s v="EN"/>
    <x v="0"/>
    <x v="0"/>
    <s v="Machine Learning Engineer"/>
    <n v="21844"/>
    <s v="USD"/>
    <n v="21844"/>
    <s v="CO"/>
    <n v="50"/>
    <s v="CO"/>
    <s v="M"/>
    <x v="2"/>
  </r>
  <r>
    <n v="192"/>
    <n v="2021"/>
    <x v="0"/>
    <s v="MI"/>
    <x v="0"/>
    <x v="0"/>
    <s v="Big Data Engineer"/>
    <n v="18000"/>
    <s v="USD"/>
    <n v="18000"/>
    <s v="MD"/>
    <n v="0"/>
    <s v="MD"/>
    <s v="S"/>
    <x v="1"/>
  </r>
  <r>
    <n v="193"/>
    <n v="2021"/>
    <x v="1"/>
    <s v="SE"/>
    <x v="0"/>
    <x v="0"/>
    <s v="Data Science Manager"/>
    <n v="174000"/>
    <s v="USD"/>
    <n v="174000"/>
    <s v="US"/>
    <n v="100"/>
    <s v="US"/>
    <s v="L"/>
    <x v="0"/>
  </r>
  <r>
    <n v="194"/>
    <n v="2021"/>
    <x v="1"/>
    <s v="SE"/>
    <x v="0"/>
    <x v="0"/>
    <s v="Research Scientist"/>
    <n v="120500"/>
    <s v="CAD"/>
    <n v="96113"/>
    <s v="CA"/>
    <n v="50"/>
    <s v="CA"/>
    <s v="L"/>
    <x v="0"/>
  </r>
  <r>
    <n v="195"/>
    <n v="2021"/>
    <x v="0"/>
    <s v="MI"/>
    <x v="0"/>
    <x v="0"/>
    <s v="Data Scientist"/>
    <n v="147000"/>
    <s v="USD"/>
    <n v="147000"/>
    <s v="US"/>
    <n v="50"/>
    <s v="US"/>
    <s v="L"/>
    <x v="0"/>
  </r>
  <r>
    <n v="196"/>
    <n v="2021"/>
    <x v="2"/>
    <s v="EN"/>
    <x v="0"/>
    <x v="0"/>
    <s v="BI Data Analyst"/>
    <n v="9272"/>
    <s v="USD"/>
    <n v="9272"/>
    <s v="KE"/>
    <n v="100"/>
    <s v="KE"/>
    <s v="S"/>
    <x v="1"/>
  </r>
  <r>
    <n v="197"/>
    <n v="2021"/>
    <x v="1"/>
    <s v="SE"/>
    <x v="0"/>
    <x v="0"/>
    <s v="Machine Learning Engineer"/>
    <n v="1799997"/>
    <s v="INR"/>
    <n v="24342"/>
    <s v="IN"/>
    <n v="100"/>
    <s v="IN"/>
    <s v="L"/>
    <x v="0"/>
  </r>
  <r>
    <n v="198"/>
    <n v="2021"/>
    <x v="1"/>
    <s v="SE"/>
    <x v="0"/>
    <x v="0"/>
    <s v="Data Science Manager"/>
    <n v="4000000"/>
    <s v="INR"/>
    <n v="54094"/>
    <s v="IN"/>
    <n v="50"/>
    <s v="US"/>
    <s v="L"/>
    <x v="0"/>
  </r>
  <r>
    <n v="199"/>
    <n v="2021"/>
    <x v="2"/>
    <s v="EN"/>
    <x v="0"/>
    <x v="0"/>
    <s v="Data Science Consultant"/>
    <n v="90000"/>
    <s v="USD"/>
    <n v="90000"/>
    <s v="US"/>
    <n v="100"/>
    <s v="US"/>
    <s v="S"/>
    <x v="1"/>
  </r>
  <r>
    <n v="200"/>
    <n v="2021"/>
    <x v="0"/>
    <s v="MI"/>
    <x v="0"/>
    <x v="0"/>
    <s v="Data Scientist"/>
    <n v="52000"/>
    <s v="EUR"/>
    <n v="61467"/>
    <s v="DE"/>
    <n v="50"/>
    <s v="AT"/>
    <s v="M"/>
    <x v="2"/>
  </r>
  <r>
    <n v="201"/>
    <n v="2021"/>
    <x v="1"/>
    <s v="SE"/>
    <x v="0"/>
    <x v="0"/>
    <s v="Machine Learning Infrastructure Engineer"/>
    <n v="195000"/>
    <s v="USD"/>
    <n v="195000"/>
    <s v="US"/>
    <n v="100"/>
    <s v="US"/>
    <s v="M"/>
    <x v="2"/>
  </r>
  <r>
    <n v="202"/>
    <n v="2021"/>
    <x v="0"/>
    <s v="MI"/>
    <x v="0"/>
    <x v="0"/>
    <s v="Data Scientist"/>
    <n v="32000"/>
    <s v="EUR"/>
    <n v="37825"/>
    <s v="ES"/>
    <n v="100"/>
    <s v="ES"/>
    <s v="L"/>
    <x v="0"/>
  </r>
  <r>
    <n v="203"/>
    <n v="2021"/>
    <x v="1"/>
    <s v="SE"/>
    <x v="0"/>
    <x v="0"/>
    <s v="Research Scientist"/>
    <n v="50000"/>
    <s v="USD"/>
    <n v="50000"/>
    <s v="FR"/>
    <n v="100"/>
    <s v="US"/>
    <s v="S"/>
    <x v="1"/>
  </r>
  <r>
    <n v="204"/>
    <n v="2021"/>
    <x v="0"/>
    <s v="MI"/>
    <x v="0"/>
    <x v="0"/>
    <s v="Data Scientist"/>
    <n v="160000"/>
    <s v="USD"/>
    <n v="160000"/>
    <s v="US"/>
    <n v="100"/>
    <s v="US"/>
    <s v="L"/>
    <x v="0"/>
  </r>
  <r>
    <n v="205"/>
    <n v="2021"/>
    <x v="0"/>
    <s v="MI"/>
    <x v="0"/>
    <x v="0"/>
    <s v="Data Scientist"/>
    <n v="69600"/>
    <s v="BRL"/>
    <n v="12901"/>
    <s v="BR"/>
    <n v="0"/>
    <s v="BR"/>
    <s v="S"/>
    <x v="1"/>
  </r>
  <r>
    <n v="206"/>
    <n v="2021"/>
    <x v="1"/>
    <s v="SE"/>
    <x v="0"/>
    <x v="0"/>
    <s v="Machine Learning Engineer"/>
    <n v="200000"/>
    <s v="USD"/>
    <n v="200000"/>
    <s v="US"/>
    <n v="100"/>
    <s v="US"/>
    <s v="L"/>
    <x v="0"/>
  </r>
  <r>
    <n v="207"/>
    <n v="2021"/>
    <x v="1"/>
    <s v="SE"/>
    <x v="0"/>
    <x v="0"/>
    <s v="Data Engineer"/>
    <n v="165000"/>
    <s v="USD"/>
    <n v="165000"/>
    <s v="US"/>
    <n v="0"/>
    <s v="US"/>
    <s v="M"/>
    <x v="2"/>
  </r>
  <r>
    <n v="208"/>
    <n v="2021"/>
    <x v="0"/>
    <s v="MI"/>
    <x v="3"/>
    <x v="3"/>
    <s v="Data Engineer"/>
    <n v="20000"/>
    <s v="USD"/>
    <n v="20000"/>
    <s v="IT"/>
    <n v="0"/>
    <s v="US"/>
    <s v="L"/>
    <x v="0"/>
  </r>
  <r>
    <n v="209"/>
    <n v="2021"/>
    <x v="1"/>
    <s v="SE"/>
    <x v="0"/>
    <x v="0"/>
    <s v="Data Analytics Manager"/>
    <n v="120000"/>
    <s v="USD"/>
    <n v="120000"/>
    <s v="US"/>
    <n v="0"/>
    <s v="US"/>
    <s v="L"/>
    <x v="0"/>
  </r>
  <r>
    <n v="210"/>
    <n v="2021"/>
    <x v="0"/>
    <s v="MI"/>
    <x v="0"/>
    <x v="0"/>
    <s v="Machine Learning Engineer"/>
    <n v="21000"/>
    <s v="EUR"/>
    <n v="24823"/>
    <s v="SI"/>
    <n v="50"/>
    <s v="SI"/>
    <s v="L"/>
    <x v="0"/>
  </r>
  <r>
    <n v="211"/>
    <n v="2021"/>
    <x v="0"/>
    <s v="MI"/>
    <x v="0"/>
    <x v="0"/>
    <s v="Research Scientist"/>
    <n v="48000"/>
    <s v="EUR"/>
    <n v="56738"/>
    <s v="FR"/>
    <n v="50"/>
    <s v="FR"/>
    <s v="S"/>
    <x v="1"/>
  </r>
  <r>
    <n v="212"/>
    <n v="2021"/>
    <x v="0"/>
    <s v="MI"/>
    <x v="0"/>
    <x v="0"/>
    <s v="Data Engineer"/>
    <n v="48000"/>
    <s v="GBP"/>
    <n v="66022"/>
    <s v="HK"/>
    <n v="50"/>
    <s v="GB"/>
    <s v="S"/>
    <x v="1"/>
  </r>
  <r>
    <n v="213"/>
    <n v="2021"/>
    <x v="2"/>
    <s v="EN"/>
    <x v="0"/>
    <x v="0"/>
    <s v="Big Data Engineer"/>
    <n v="435000"/>
    <s v="INR"/>
    <n v="5882"/>
    <s v="IN"/>
    <n v="0"/>
    <s v="CH"/>
    <s v="L"/>
    <x v="0"/>
  </r>
  <r>
    <n v="214"/>
    <n v="2021"/>
    <x v="2"/>
    <s v="EN"/>
    <x v="0"/>
    <x v="0"/>
    <s v="Machine Learning Engineer"/>
    <n v="21000"/>
    <s v="EUR"/>
    <n v="24823"/>
    <s v="DE"/>
    <n v="50"/>
    <s v="DE"/>
    <s v="M"/>
    <x v="2"/>
  </r>
  <r>
    <n v="215"/>
    <n v="2021"/>
    <x v="1"/>
    <s v="SE"/>
    <x v="0"/>
    <x v="0"/>
    <s v="Principal Data Engineer"/>
    <n v="185000"/>
    <s v="USD"/>
    <n v="185000"/>
    <s v="US"/>
    <n v="100"/>
    <s v="US"/>
    <s v="L"/>
    <x v="0"/>
  </r>
  <r>
    <n v="216"/>
    <n v="2021"/>
    <x v="2"/>
    <s v="EN"/>
    <x v="2"/>
    <x v="2"/>
    <s v="Computer Vision Engineer"/>
    <n v="180000"/>
    <s v="DKK"/>
    <n v="28609"/>
    <s v="DK"/>
    <n v="50"/>
    <s v="DK"/>
    <s v="S"/>
    <x v="1"/>
  </r>
  <r>
    <n v="217"/>
    <n v="2021"/>
    <x v="0"/>
    <s v="MI"/>
    <x v="0"/>
    <x v="0"/>
    <s v="Data Scientist"/>
    <n v="76760"/>
    <s v="EUR"/>
    <n v="90734"/>
    <s v="DE"/>
    <n v="50"/>
    <s v="DE"/>
    <s v="L"/>
    <x v="0"/>
  </r>
  <r>
    <n v="218"/>
    <n v="2021"/>
    <x v="0"/>
    <s v="MI"/>
    <x v="0"/>
    <x v="0"/>
    <s v="Machine Learning Engineer"/>
    <n v="75000"/>
    <s v="EUR"/>
    <n v="88654"/>
    <s v="BE"/>
    <n v="100"/>
    <s v="BE"/>
    <s v="M"/>
    <x v="2"/>
  </r>
  <r>
    <n v="219"/>
    <n v="2021"/>
    <x v="1"/>
    <s v="SE"/>
    <x v="0"/>
    <x v="0"/>
    <s v="Data Analytics Manager"/>
    <n v="140000"/>
    <s v="USD"/>
    <n v="140000"/>
    <s v="US"/>
    <n v="100"/>
    <s v="US"/>
    <s v="L"/>
    <x v="0"/>
  </r>
  <r>
    <n v="220"/>
    <n v="2021"/>
    <x v="0"/>
    <s v="MI"/>
    <x v="0"/>
    <x v="0"/>
    <s v="Machine Learning Engineer"/>
    <n v="180000"/>
    <s v="PLN"/>
    <n v="46597"/>
    <s v="PL"/>
    <n v="100"/>
    <s v="PL"/>
    <s v="L"/>
    <x v="0"/>
  </r>
  <r>
    <n v="221"/>
    <n v="2021"/>
    <x v="0"/>
    <s v="MI"/>
    <x v="0"/>
    <x v="0"/>
    <s v="Data Scientist"/>
    <n v="85000"/>
    <s v="GBP"/>
    <n v="116914"/>
    <s v="GB"/>
    <n v="50"/>
    <s v="GB"/>
    <s v="L"/>
    <x v="0"/>
  </r>
  <r>
    <n v="222"/>
    <n v="2021"/>
    <x v="0"/>
    <s v="MI"/>
    <x v="0"/>
    <x v="0"/>
    <s v="Data Scientist"/>
    <n v="2500000"/>
    <s v="INR"/>
    <n v="33808"/>
    <s v="IN"/>
    <n v="0"/>
    <s v="IN"/>
    <s v="M"/>
    <x v="2"/>
  </r>
  <r>
    <n v="223"/>
    <n v="2021"/>
    <x v="0"/>
    <s v="MI"/>
    <x v="0"/>
    <x v="0"/>
    <s v="Data Scientist"/>
    <n v="40900"/>
    <s v="GBP"/>
    <n v="56256"/>
    <s v="GB"/>
    <n v="50"/>
    <s v="GB"/>
    <s v="L"/>
    <x v="0"/>
  </r>
  <r>
    <n v="224"/>
    <n v="2021"/>
    <x v="1"/>
    <s v="SE"/>
    <x v="0"/>
    <x v="0"/>
    <s v="Machine Learning Scientist"/>
    <n v="225000"/>
    <s v="USD"/>
    <n v="225000"/>
    <s v="US"/>
    <n v="100"/>
    <s v="CA"/>
    <s v="L"/>
    <x v="0"/>
  </r>
  <r>
    <n v="225"/>
    <n v="2021"/>
    <x v="3"/>
    <s v="EX"/>
    <x v="1"/>
    <x v="1"/>
    <s v="Principal Data Scientist"/>
    <n v="416000"/>
    <s v="USD"/>
    <n v="416000"/>
    <s v="US"/>
    <n v="100"/>
    <s v="US"/>
    <s v="S"/>
    <x v="1"/>
  </r>
  <r>
    <n v="226"/>
    <n v="2021"/>
    <x v="1"/>
    <s v="SE"/>
    <x v="0"/>
    <x v="0"/>
    <s v="Data Scientist"/>
    <n v="110000"/>
    <s v="CAD"/>
    <n v="87738"/>
    <s v="CA"/>
    <n v="100"/>
    <s v="CA"/>
    <s v="S"/>
    <x v="1"/>
  </r>
  <r>
    <n v="227"/>
    <n v="2021"/>
    <x v="0"/>
    <s v="MI"/>
    <x v="0"/>
    <x v="0"/>
    <s v="Data Scientist"/>
    <n v="75000"/>
    <s v="EUR"/>
    <n v="88654"/>
    <s v="DE"/>
    <n v="50"/>
    <s v="DE"/>
    <s v="L"/>
    <x v="0"/>
  </r>
  <r>
    <n v="228"/>
    <n v="2021"/>
    <x v="1"/>
    <s v="SE"/>
    <x v="0"/>
    <x v="0"/>
    <s v="Data Scientist"/>
    <n v="135000"/>
    <s v="USD"/>
    <n v="135000"/>
    <s v="US"/>
    <n v="0"/>
    <s v="US"/>
    <s v="L"/>
    <x v="0"/>
  </r>
  <r>
    <n v="229"/>
    <n v="2021"/>
    <x v="1"/>
    <s v="SE"/>
    <x v="0"/>
    <x v="0"/>
    <s v="Data Analyst"/>
    <n v="90000"/>
    <s v="CAD"/>
    <n v="71786"/>
    <s v="CA"/>
    <n v="100"/>
    <s v="CA"/>
    <s v="M"/>
    <x v="2"/>
  </r>
  <r>
    <n v="230"/>
    <n v="2021"/>
    <x v="2"/>
    <s v="EN"/>
    <x v="0"/>
    <x v="0"/>
    <s v="Big Data Engineer"/>
    <n v="1200000"/>
    <s v="INR"/>
    <n v="16228"/>
    <s v="IN"/>
    <n v="100"/>
    <s v="IN"/>
    <s v="L"/>
    <x v="0"/>
  </r>
  <r>
    <n v="231"/>
    <n v="2021"/>
    <x v="1"/>
    <s v="SE"/>
    <x v="0"/>
    <x v="0"/>
    <s v="ML Engineer"/>
    <n v="256000"/>
    <s v="USD"/>
    <n v="256000"/>
    <s v="US"/>
    <n v="100"/>
    <s v="US"/>
    <s v="S"/>
    <x v="1"/>
  </r>
  <r>
    <n v="232"/>
    <n v="2021"/>
    <x v="1"/>
    <s v="SE"/>
    <x v="0"/>
    <x v="0"/>
    <s v="Director of Data Engineering"/>
    <n v="200000"/>
    <s v="USD"/>
    <n v="200000"/>
    <s v="US"/>
    <n v="100"/>
    <s v="US"/>
    <s v="L"/>
    <x v="0"/>
  </r>
  <r>
    <n v="233"/>
    <n v="2021"/>
    <x v="1"/>
    <s v="SE"/>
    <x v="0"/>
    <x v="0"/>
    <s v="Data Analyst"/>
    <n v="200000"/>
    <s v="USD"/>
    <n v="200000"/>
    <s v="US"/>
    <n v="100"/>
    <s v="US"/>
    <s v="L"/>
    <x v="0"/>
  </r>
  <r>
    <n v="234"/>
    <n v="2021"/>
    <x v="0"/>
    <s v="MI"/>
    <x v="0"/>
    <x v="0"/>
    <s v="Data Architect"/>
    <n v="180000"/>
    <s v="USD"/>
    <n v="180000"/>
    <s v="US"/>
    <n v="100"/>
    <s v="US"/>
    <s v="L"/>
    <x v="0"/>
  </r>
  <r>
    <n v="235"/>
    <n v="2021"/>
    <x v="0"/>
    <s v="MI"/>
    <x v="0"/>
    <x v="0"/>
    <s v="Head of Data Science"/>
    <n v="110000"/>
    <s v="USD"/>
    <n v="110000"/>
    <s v="US"/>
    <n v="0"/>
    <s v="US"/>
    <s v="S"/>
    <x v="1"/>
  </r>
  <r>
    <n v="236"/>
    <n v="2021"/>
    <x v="0"/>
    <s v="MI"/>
    <x v="0"/>
    <x v="0"/>
    <s v="Research Scientist"/>
    <n v="80000"/>
    <s v="CAD"/>
    <n v="63810"/>
    <s v="CA"/>
    <n v="100"/>
    <s v="CA"/>
    <s v="M"/>
    <x v="2"/>
  </r>
  <r>
    <n v="237"/>
    <n v="2021"/>
    <x v="0"/>
    <s v="MI"/>
    <x v="0"/>
    <x v="0"/>
    <s v="Data Scientist"/>
    <n v="39600"/>
    <s v="EUR"/>
    <n v="46809"/>
    <s v="ES"/>
    <n v="100"/>
    <s v="ES"/>
    <s v="M"/>
    <x v="2"/>
  </r>
  <r>
    <n v="238"/>
    <n v="2021"/>
    <x v="2"/>
    <s v="EN"/>
    <x v="0"/>
    <x v="0"/>
    <s v="Data Scientist"/>
    <n v="4000"/>
    <s v="USD"/>
    <n v="4000"/>
    <s v="VN"/>
    <n v="0"/>
    <s v="VN"/>
    <s v="M"/>
    <x v="2"/>
  </r>
  <r>
    <n v="239"/>
    <n v="2021"/>
    <x v="2"/>
    <s v="EN"/>
    <x v="0"/>
    <x v="0"/>
    <s v="Data Engineer"/>
    <n v="1600000"/>
    <s v="INR"/>
    <n v="21637"/>
    <s v="IN"/>
    <n v="50"/>
    <s v="IN"/>
    <s v="M"/>
    <x v="2"/>
  </r>
  <r>
    <n v="240"/>
    <n v="2021"/>
    <x v="1"/>
    <s v="SE"/>
    <x v="0"/>
    <x v="0"/>
    <s v="Data Scientist"/>
    <n v="130000"/>
    <s v="CAD"/>
    <n v="103691"/>
    <s v="CA"/>
    <n v="100"/>
    <s v="CA"/>
    <s v="L"/>
    <x v="0"/>
  </r>
  <r>
    <n v="241"/>
    <n v="2021"/>
    <x v="0"/>
    <s v="MI"/>
    <x v="0"/>
    <x v="0"/>
    <s v="Data Analyst"/>
    <n v="80000"/>
    <s v="USD"/>
    <n v="80000"/>
    <s v="US"/>
    <n v="100"/>
    <s v="US"/>
    <s v="L"/>
    <x v="0"/>
  </r>
  <r>
    <n v="242"/>
    <n v="2021"/>
    <x v="0"/>
    <s v="MI"/>
    <x v="0"/>
    <x v="0"/>
    <s v="Data Engineer"/>
    <n v="110000"/>
    <s v="USD"/>
    <n v="110000"/>
    <s v="US"/>
    <n v="100"/>
    <s v="US"/>
    <s v="L"/>
    <x v="0"/>
  </r>
  <r>
    <n v="243"/>
    <n v="2021"/>
    <x v="1"/>
    <s v="SE"/>
    <x v="0"/>
    <x v="0"/>
    <s v="Data Scientist"/>
    <n v="165000"/>
    <s v="USD"/>
    <n v="165000"/>
    <s v="US"/>
    <n v="100"/>
    <s v="US"/>
    <s v="L"/>
    <x v="0"/>
  </r>
  <r>
    <n v="244"/>
    <n v="2021"/>
    <x v="2"/>
    <s v="EN"/>
    <x v="0"/>
    <x v="0"/>
    <s v="AI Scientist"/>
    <n v="1335000"/>
    <s v="INR"/>
    <n v="18053"/>
    <s v="IN"/>
    <n v="100"/>
    <s v="AS"/>
    <s v="S"/>
    <x v="1"/>
  </r>
  <r>
    <n v="245"/>
    <n v="2021"/>
    <x v="0"/>
    <s v="MI"/>
    <x v="0"/>
    <x v="0"/>
    <s v="Data Engineer"/>
    <n v="52500"/>
    <s v="GBP"/>
    <n v="72212"/>
    <s v="GB"/>
    <n v="50"/>
    <s v="GB"/>
    <s v="L"/>
    <x v="0"/>
  </r>
  <r>
    <n v="246"/>
    <n v="2021"/>
    <x v="2"/>
    <s v="EN"/>
    <x v="0"/>
    <x v="0"/>
    <s v="Data Scientist"/>
    <n v="31000"/>
    <s v="EUR"/>
    <n v="36643"/>
    <s v="FR"/>
    <n v="50"/>
    <s v="FR"/>
    <s v="L"/>
    <x v="0"/>
  </r>
  <r>
    <n v="247"/>
    <n v="2021"/>
    <x v="0"/>
    <s v="MI"/>
    <x v="0"/>
    <x v="0"/>
    <s v="Data Engineer"/>
    <n v="108000"/>
    <s v="TRY"/>
    <n v="12103"/>
    <s v="TR"/>
    <n v="0"/>
    <s v="TR"/>
    <s v="M"/>
    <x v="2"/>
  </r>
  <r>
    <n v="248"/>
    <n v="2021"/>
    <x v="1"/>
    <s v="SE"/>
    <x v="0"/>
    <x v="0"/>
    <s v="Data Engineer"/>
    <n v="70000"/>
    <s v="GBP"/>
    <n v="96282"/>
    <s v="GB"/>
    <n v="50"/>
    <s v="GB"/>
    <s v="L"/>
    <x v="0"/>
  </r>
  <r>
    <n v="249"/>
    <n v="2021"/>
    <x v="1"/>
    <s v="SE"/>
    <x v="0"/>
    <x v="0"/>
    <s v="Principal Data Analyst"/>
    <n v="170000"/>
    <s v="USD"/>
    <n v="170000"/>
    <s v="US"/>
    <n v="100"/>
    <s v="US"/>
    <s v="M"/>
    <x v="2"/>
  </r>
  <r>
    <n v="250"/>
    <n v="2021"/>
    <x v="0"/>
    <s v="MI"/>
    <x v="0"/>
    <x v="0"/>
    <s v="Data Scientist"/>
    <n v="115000"/>
    <s v="USD"/>
    <n v="115000"/>
    <s v="US"/>
    <n v="50"/>
    <s v="US"/>
    <s v="L"/>
    <x v="0"/>
  </r>
  <r>
    <n v="251"/>
    <n v="2021"/>
    <x v="2"/>
    <s v="EN"/>
    <x v="0"/>
    <x v="0"/>
    <s v="Data Scientist"/>
    <n v="90000"/>
    <s v="USD"/>
    <n v="90000"/>
    <s v="US"/>
    <n v="100"/>
    <s v="US"/>
    <s v="S"/>
    <x v="1"/>
  </r>
  <r>
    <n v="252"/>
    <n v="2021"/>
    <x v="3"/>
    <s v="EX"/>
    <x v="0"/>
    <x v="0"/>
    <s v="Principal Data Engineer"/>
    <n v="600000"/>
    <s v="USD"/>
    <n v="600000"/>
    <s v="US"/>
    <n v="100"/>
    <s v="US"/>
    <s v="L"/>
    <x v="0"/>
  </r>
  <r>
    <n v="253"/>
    <n v="2021"/>
    <x v="2"/>
    <s v="EN"/>
    <x v="0"/>
    <x v="0"/>
    <s v="Data Scientist"/>
    <n v="2100000"/>
    <s v="INR"/>
    <n v="28399"/>
    <s v="IN"/>
    <n v="100"/>
    <s v="IN"/>
    <s v="M"/>
    <x v="2"/>
  </r>
  <r>
    <n v="254"/>
    <n v="2021"/>
    <x v="0"/>
    <s v="MI"/>
    <x v="0"/>
    <x v="0"/>
    <s v="Data Analyst"/>
    <n v="93000"/>
    <s v="USD"/>
    <n v="93000"/>
    <s v="US"/>
    <n v="100"/>
    <s v="US"/>
    <s v="L"/>
    <x v="0"/>
  </r>
  <r>
    <n v="255"/>
    <n v="2021"/>
    <x v="1"/>
    <s v="SE"/>
    <x v="0"/>
    <x v="0"/>
    <s v="Big Data Architect"/>
    <n v="125000"/>
    <s v="CAD"/>
    <n v="99703"/>
    <s v="CA"/>
    <n v="50"/>
    <s v="CA"/>
    <s v="M"/>
    <x v="2"/>
  </r>
  <r>
    <n v="256"/>
    <n v="2021"/>
    <x v="0"/>
    <s v="MI"/>
    <x v="0"/>
    <x v="0"/>
    <s v="Data Engineer"/>
    <n v="200000"/>
    <s v="USD"/>
    <n v="200000"/>
    <s v="US"/>
    <n v="100"/>
    <s v="US"/>
    <s v="L"/>
    <x v="0"/>
  </r>
  <r>
    <n v="257"/>
    <n v="2021"/>
    <x v="1"/>
    <s v="SE"/>
    <x v="0"/>
    <x v="0"/>
    <s v="Principal Data Scientist"/>
    <n v="147000"/>
    <s v="EUR"/>
    <n v="173762"/>
    <s v="DE"/>
    <n v="100"/>
    <s v="DE"/>
    <s v="M"/>
    <x v="2"/>
  </r>
  <r>
    <n v="258"/>
    <n v="2021"/>
    <x v="1"/>
    <s v="SE"/>
    <x v="0"/>
    <x v="0"/>
    <s v="Machine Learning Engineer"/>
    <n v="185000"/>
    <s v="USD"/>
    <n v="185000"/>
    <s v="US"/>
    <n v="50"/>
    <s v="US"/>
    <s v="L"/>
    <x v="0"/>
  </r>
  <r>
    <n v="259"/>
    <n v="2021"/>
    <x v="3"/>
    <s v="EX"/>
    <x v="0"/>
    <x v="0"/>
    <s v="Director of Data Science"/>
    <n v="120000"/>
    <s v="EUR"/>
    <n v="141846"/>
    <s v="DE"/>
    <n v="0"/>
    <s v="DE"/>
    <s v="L"/>
    <x v="0"/>
  </r>
  <r>
    <n v="260"/>
    <n v="2021"/>
    <x v="0"/>
    <s v="MI"/>
    <x v="0"/>
    <x v="0"/>
    <s v="Data Scientist"/>
    <n v="130000"/>
    <s v="USD"/>
    <n v="130000"/>
    <s v="US"/>
    <n v="50"/>
    <s v="US"/>
    <s v="L"/>
    <x v="0"/>
  </r>
  <r>
    <n v="261"/>
    <n v="2021"/>
    <x v="1"/>
    <s v="SE"/>
    <x v="0"/>
    <x v="0"/>
    <s v="Data Analyst"/>
    <n v="54000"/>
    <s v="EUR"/>
    <n v="63831"/>
    <s v="DE"/>
    <n v="50"/>
    <s v="DE"/>
    <s v="L"/>
    <x v="0"/>
  </r>
  <r>
    <n v="262"/>
    <n v="2021"/>
    <x v="0"/>
    <s v="MI"/>
    <x v="0"/>
    <x v="0"/>
    <s v="Data Scientist"/>
    <n v="1250000"/>
    <s v="INR"/>
    <n v="16904"/>
    <s v="IN"/>
    <n v="100"/>
    <s v="IN"/>
    <s v="S"/>
    <x v="1"/>
  </r>
  <r>
    <n v="263"/>
    <n v="2021"/>
    <x v="1"/>
    <s v="SE"/>
    <x v="0"/>
    <x v="0"/>
    <s v="Machine Learning Engineer"/>
    <n v="4900000"/>
    <s v="INR"/>
    <n v="66265"/>
    <s v="IN"/>
    <n v="0"/>
    <s v="IN"/>
    <s v="L"/>
    <x v="0"/>
  </r>
  <r>
    <n v="264"/>
    <n v="2021"/>
    <x v="0"/>
    <s v="MI"/>
    <x v="0"/>
    <x v="0"/>
    <s v="Data Scientist"/>
    <n v="21600"/>
    <s v="EUR"/>
    <n v="25532"/>
    <s v="RS"/>
    <n v="100"/>
    <s v="DE"/>
    <s v="S"/>
    <x v="1"/>
  </r>
  <r>
    <n v="265"/>
    <n v="2021"/>
    <x v="1"/>
    <s v="SE"/>
    <x v="0"/>
    <x v="0"/>
    <s v="Lead Data Engineer"/>
    <n v="160000"/>
    <s v="USD"/>
    <n v="160000"/>
    <s v="PR"/>
    <n v="50"/>
    <s v="US"/>
    <s v="S"/>
    <x v="1"/>
  </r>
  <r>
    <n v="266"/>
    <n v="2021"/>
    <x v="0"/>
    <s v="MI"/>
    <x v="0"/>
    <x v="0"/>
    <s v="Data Engineer"/>
    <n v="93150"/>
    <s v="USD"/>
    <n v="93150"/>
    <s v="US"/>
    <n v="0"/>
    <s v="US"/>
    <s v="M"/>
    <x v="2"/>
  </r>
  <r>
    <n v="267"/>
    <n v="2021"/>
    <x v="0"/>
    <s v="MI"/>
    <x v="0"/>
    <x v="0"/>
    <s v="Data Engineer"/>
    <n v="111775"/>
    <s v="USD"/>
    <n v="111775"/>
    <s v="US"/>
    <n v="0"/>
    <s v="US"/>
    <s v="M"/>
    <x v="2"/>
  </r>
  <r>
    <n v="268"/>
    <n v="2021"/>
    <x v="0"/>
    <s v="MI"/>
    <x v="0"/>
    <x v="0"/>
    <s v="Data Engineer"/>
    <n v="250000"/>
    <s v="TRY"/>
    <n v="28016"/>
    <s v="TR"/>
    <n v="100"/>
    <s v="TR"/>
    <s v="M"/>
    <x v="2"/>
  </r>
  <r>
    <n v="269"/>
    <n v="2021"/>
    <x v="2"/>
    <s v="EN"/>
    <x v="0"/>
    <x v="0"/>
    <s v="Data Engineer"/>
    <n v="55000"/>
    <s v="EUR"/>
    <n v="65013"/>
    <s v="DE"/>
    <n v="50"/>
    <s v="DE"/>
    <s v="M"/>
    <x v="2"/>
  </r>
  <r>
    <n v="270"/>
    <n v="2021"/>
    <x v="2"/>
    <s v="EN"/>
    <x v="0"/>
    <x v="0"/>
    <s v="Data Engineer"/>
    <n v="72500"/>
    <s v="USD"/>
    <n v="72500"/>
    <s v="US"/>
    <n v="100"/>
    <s v="US"/>
    <s v="L"/>
    <x v="0"/>
  </r>
  <r>
    <n v="271"/>
    <n v="2021"/>
    <x v="1"/>
    <s v="SE"/>
    <x v="0"/>
    <x v="0"/>
    <s v="Computer Vision Engineer"/>
    <n v="102000"/>
    <s v="BRL"/>
    <n v="18907"/>
    <s v="BR"/>
    <n v="0"/>
    <s v="BR"/>
    <s v="M"/>
    <x v="2"/>
  </r>
  <r>
    <n v="272"/>
    <n v="2021"/>
    <x v="2"/>
    <s v="EN"/>
    <x v="0"/>
    <x v="0"/>
    <s v="Data Science Consultant"/>
    <n v="65000"/>
    <s v="EUR"/>
    <n v="76833"/>
    <s v="DE"/>
    <n v="0"/>
    <s v="DE"/>
    <s v="L"/>
    <x v="0"/>
  </r>
  <r>
    <n v="273"/>
    <n v="2021"/>
    <x v="2"/>
    <s v="EN"/>
    <x v="0"/>
    <x v="0"/>
    <s v="Machine Learning Engineer"/>
    <n v="85000"/>
    <s v="USD"/>
    <n v="85000"/>
    <s v="NL"/>
    <n v="100"/>
    <s v="DE"/>
    <s v="S"/>
    <x v="1"/>
  </r>
  <r>
    <n v="274"/>
    <n v="2021"/>
    <x v="1"/>
    <s v="SE"/>
    <x v="0"/>
    <x v="0"/>
    <s v="Data Scientist"/>
    <n v="65720"/>
    <s v="EUR"/>
    <n v="77684"/>
    <s v="FR"/>
    <n v="50"/>
    <s v="FR"/>
    <s v="M"/>
    <x v="2"/>
  </r>
  <r>
    <n v="275"/>
    <n v="2021"/>
    <x v="2"/>
    <s v="EN"/>
    <x v="0"/>
    <x v="0"/>
    <s v="Data Scientist"/>
    <n v="100000"/>
    <s v="USD"/>
    <n v="100000"/>
    <s v="US"/>
    <n v="100"/>
    <s v="US"/>
    <s v="M"/>
    <x v="2"/>
  </r>
  <r>
    <n v="276"/>
    <n v="2021"/>
    <x v="2"/>
    <s v="EN"/>
    <x v="0"/>
    <x v="0"/>
    <s v="Data Scientist"/>
    <n v="58000"/>
    <s v="USD"/>
    <n v="58000"/>
    <s v="US"/>
    <n v="50"/>
    <s v="US"/>
    <s v="L"/>
    <x v="0"/>
  </r>
  <r>
    <n v="277"/>
    <n v="2021"/>
    <x v="1"/>
    <s v="SE"/>
    <x v="0"/>
    <x v="0"/>
    <s v="AI Scientist"/>
    <n v="55000"/>
    <s v="USD"/>
    <n v="55000"/>
    <s v="ES"/>
    <n v="100"/>
    <s v="ES"/>
    <s v="L"/>
    <x v="0"/>
  </r>
  <r>
    <n v="278"/>
    <n v="2021"/>
    <x v="1"/>
    <s v="SE"/>
    <x v="0"/>
    <x v="0"/>
    <s v="Data Scientist"/>
    <n v="180000"/>
    <s v="TRY"/>
    <n v="20171"/>
    <s v="TR"/>
    <n v="50"/>
    <s v="TR"/>
    <s v="L"/>
    <x v="0"/>
  </r>
  <r>
    <n v="279"/>
    <n v="2021"/>
    <x v="2"/>
    <s v="EN"/>
    <x v="0"/>
    <x v="0"/>
    <s v="Business Data Analyst"/>
    <n v="50000"/>
    <s v="EUR"/>
    <n v="59102"/>
    <s v="LU"/>
    <n v="100"/>
    <s v="LU"/>
    <s v="L"/>
    <x v="0"/>
  </r>
  <r>
    <n v="280"/>
    <n v="2021"/>
    <x v="0"/>
    <s v="MI"/>
    <x v="0"/>
    <x v="0"/>
    <s v="Data Engineer"/>
    <n v="112000"/>
    <s v="USD"/>
    <n v="112000"/>
    <s v="US"/>
    <n v="100"/>
    <s v="US"/>
    <s v="L"/>
    <x v="0"/>
  </r>
  <r>
    <n v="281"/>
    <n v="2021"/>
    <x v="2"/>
    <s v="EN"/>
    <x v="0"/>
    <x v="0"/>
    <s v="Research Scientist"/>
    <n v="100000"/>
    <s v="USD"/>
    <n v="100000"/>
    <s v="JE"/>
    <n v="0"/>
    <s v="CN"/>
    <s v="L"/>
    <x v="0"/>
  </r>
  <r>
    <n v="282"/>
    <n v="2021"/>
    <x v="0"/>
    <s v="MI"/>
    <x v="2"/>
    <x v="2"/>
    <s v="Data Engineer"/>
    <n v="59000"/>
    <s v="EUR"/>
    <n v="69741"/>
    <s v="NL"/>
    <n v="100"/>
    <s v="NL"/>
    <s v="L"/>
    <x v="0"/>
  </r>
  <r>
    <n v="283"/>
    <n v="2021"/>
    <x v="1"/>
    <s v="SE"/>
    <x v="1"/>
    <x v="1"/>
    <s v="Staff Data Scientist"/>
    <n v="105000"/>
    <s v="USD"/>
    <n v="105000"/>
    <s v="US"/>
    <n v="100"/>
    <s v="US"/>
    <s v="M"/>
    <x v="2"/>
  </r>
  <r>
    <n v="284"/>
    <n v="2021"/>
    <x v="0"/>
    <s v="MI"/>
    <x v="0"/>
    <x v="0"/>
    <s v="Research Scientist"/>
    <n v="69999"/>
    <s v="USD"/>
    <n v="69999"/>
    <s v="CZ"/>
    <n v="50"/>
    <s v="CZ"/>
    <s v="L"/>
    <x v="0"/>
  </r>
  <r>
    <n v="285"/>
    <n v="2021"/>
    <x v="1"/>
    <s v="SE"/>
    <x v="0"/>
    <x v="0"/>
    <s v="Data Science Manager"/>
    <n v="7000000"/>
    <s v="INR"/>
    <n v="94665"/>
    <s v="IN"/>
    <n v="50"/>
    <s v="IN"/>
    <s v="L"/>
    <x v="0"/>
  </r>
  <r>
    <n v="286"/>
    <n v="2021"/>
    <x v="1"/>
    <s v="SE"/>
    <x v="0"/>
    <x v="0"/>
    <s v="Head of Data"/>
    <n v="87000"/>
    <s v="EUR"/>
    <n v="102839"/>
    <s v="SI"/>
    <n v="100"/>
    <s v="SI"/>
    <s v="L"/>
    <x v="0"/>
  </r>
  <r>
    <n v="287"/>
    <n v="2021"/>
    <x v="0"/>
    <s v="MI"/>
    <x v="0"/>
    <x v="0"/>
    <s v="Data Scientist"/>
    <n v="109000"/>
    <s v="USD"/>
    <n v="109000"/>
    <s v="US"/>
    <n v="50"/>
    <s v="US"/>
    <s v="L"/>
    <x v="0"/>
  </r>
  <r>
    <n v="288"/>
    <n v="2021"/>
    <x v="0"/>
    <s v="MI"/>
    <x v="0"/>
    <x v="0"/>
    <s v="Machine Learning Engineer"/>
    <n v="43200"/>
    <s v="EUR"/>
    <n v="51064"/>
    <s v="IT"/>
    <n v="50"/>
    <s v="IT"/>
    <s v="L"/>
    <x v="0"/>
  </r>
  <r>
    <n v="289"/>
    <n v="2022"/>
    <x v="1"/>
    <s v="SE"/>
    <x v="0"/>
    <x v="0"/>
    <s v="Data Engineer"/>
    <n v="135000"/>
    <s v="USD"/>
    <n v="135000"/>
    <s v="US"/>
    <n v="100"/>
    <s v="US"/>
    <s v="M"/>
    <x v="2"/>
  </r>
  <r>
    <n v="290"/>
    <n v="2022"/>
    <x v="1"/>
    <s v="SE"/>
    <x v="0"/>
    <x v="0"/>
    <s v="Data Analyst"/>
    <n v="155000"/>
    <s v="USD"/>
    <n v="155000"/>
    <s v="US"/>
    <n v="100"/>
    <s v="US"/>
    <s v="M"/>
    <x v="2"/>
  </r>
  <r>
    <n v="291"/>
    <n v="2022"/>
    <x v="1"/>
    <s v="SE"/>
    <x v="0"/>
    <x v="0"/>
    <s v="Data Analyst"/>
    <n v="120600"/>
    <s v="USD"/>
    <n v="120600"/>
    <s v="US"/>
    <n v="100"/>
    <s v="US"/>
    <s v="M"/>
    <x v="2"/>
  </r>
  <r>
    <n v="292"/>
    <n v="2022"/>
    <x v="0"/>
    <s v="MI"/>
    <x v="0"/>
    <x v="0"/>
    <s v="Data Scientist"/>
    <n v="130000"/>
    <s v="USD"/>
    <n v="130000"/>
    <s v="US"/>
    <n v="0"/>
    <s v="US"/>
    <s v="M"/>
    <x v="2"/>
  </r>
  <r>
    <n v="293"/>
    <n v="2022"/>
    <x v="0"/>
    <s v="MI"/>
    <x v="0"/>
    <x v="0"/>
    <s v="Data Scientist"/>
    <n v="90000"/>
    <s v="USD"/>
    <n v="90000"/>
    <s v="US"/>
    <n v="0"/>
    <s v="US"/>
    <s v="M"/>
    <x v="2"/>
  </r>
  <r>
    <n v="294"/>
    <n v="2022"/>
    <x v="0"/>
    <s v="MI"/>
    <x v="0"/>
    <x v="0"/>
    <s v="Data Engineer"/>
    <n v="170000"/>
    <s v="USD"/>
    <n v="170000"/>
    <s v="US"/>
    <n v="100"/>
    <s v="US"/>
    <s v="M"/>
    <x v="2"/>
  </r>
  <r>
    <n v="295"/>
    <n v="2022"/>
    <x v="0"/>
    <s v="MI"/>
    <x v="0"/>
    <x v="0"/>
    <s v="Data Engineer"/>
    <n v="150000"/>
    <s v="USD"/>
    <n v="150000"/>
    <s v="US"/>
    <n v="100"/>
    <s v="US"/>
    <s v="M"/>
    <x v="2"/>
  </r>
  <r>
    <n v="296"/>
    <n v="2022"/>
    <x v="1"/>
    <s v="SE"/>
    <x v="0"/>
    <x v="0"/>
    <s v="Data Analyst"/>
    <n v="102100"/>
    <s v="USD"/>
    <n v="102100"/>
    <s v="US"/>
    <n v="100"/>
    <s v="US"/>
    <s v="M"/>
    <x v="2"/>
  </r>
  <r>
    <n v="297"/>
    <n v="2022"/>
    <x v="1"/>
    <s v="SE"/>
    <x v="0"/>
    <x v="0"/>
    <s v="Data Analyst"/>
    <n v="84900"/>
    <s v="USD"/>
    <n v="84900"/>
    <s v="US"/>
    <n v="100"/>
    <s v="US"/>
    <s v="M"/>
    <x v="2"/>
  </r>
  <r>
    <n v="298"/>
    <n v="2022"/>
    <x v="1"/>
    <s v="SE"/>
    <x v="0"/>
    <x v="0"/>
    <s v="Data Scientist"/>
    <n v="136620"/>
    <s v="USD"/>
    <n v="136620"/>
    <s v="US"/>
    <n v="100"/>
    <s v="US"/>
    <s v="M"/>
    <x v="2"/>
  </r>
  <r>
    <n v="299"/>
    <n v="2022"/>
    <x v="1"/>
    <s v="SE"/>
    <x v="0"/>
    <x v="0"/>
    <s v="Data Scientist"/>
    <n v="99360"/>
    <s v="USD"/>
    <n v="99360"/>
    <s v="US"/>
    <n v="100"/>
    <s v="US"/>
    <s v="M"/>
    <x v="2"/>
  </r>
  <r>
    <n v="300"/>
    <n v="2022"/>
    <x v="1"/>
    <s v="SE"/>
    <x v="0"/>
    <x v="0"/>
    <s v="Data Scientist"/>
    <n v="90000"/>
    <s v="GBP"/>
    <n v="117789"/>
    <s v="GB"/>
    <n v="0"/>
    <s v="GB"/>
    <s v="M"/>
    <x v="2"/>
  </r>
  <r>
    <n v="301"/>
    <n v="2022"/>
    <x v="1"/>
    <s v="SE"/>
    <x v="0"/>
    <x v="0"/>
    <s v="Data Scientist"/>
    <n v="80000"/>
    <s v="GBP"/>
    <n v="104702"/>
    <s v="GB"/>
    <n v="0"/>
    <s v="GB"/>
    <s v="M"/>
    <x v="2"/>
  </r>
  <r>
    <n v="302"/>
    <n v="2022"/>
    <x v="1"/>
    <s v="SE"/>
    <x v="0"/>
    <x v="0"/>
    <s v="Data Scientist"/>
    <n v="146000"/>
    <s v="USD"/>
    <n v="146000"/>
    <s v="US"/>
    <n v="100"/>
    <s v="US"/>
    <s v="M"/>
    <x v="2"/>
  </r>
  <r>
    <n v="303"/>
    <n v="2022"/>
    <x v="1"/>
    <s v="SE"/>
    <x v="0"/>
    <x v="0"/>
    <s v="Data Scientist"/>
    <n v="123000"/>
    <s v="USD"/>
    <n v="123000"/>
    <s v="US"/>
    <n v="100"/>
    <s v="US"/>
    <s v="M"/>
    <x v="2"/>
  </r>
  <r>
    <n v="304"/>
    <n v="2022"/>
    <x v="2"/>
    <s v="EN"/>
    <x v="0"/>
    <x v="0"/>
    <s v="Data Engineer"/>
    <n v="40000"/>
    <s v="GBP"/>
    <n v="52351"/>
    <s v="GB"/>
    <n v="100"/>
    <s v="GB"/>
    <s v="M"/>
    <x v="2"/>
  </r>
  <r>
    <n v="305"/>
    <n v="2022"/>
    <x v="1"/>
    <s v="SE"/>
    <x v="0"/>
    <x v="0"/>
    <s v="Data Analyst"/>
    <n v="99000"/>
    <s v="USD"/>
    <n v="99000"/>
    <s v="US"/>
    <n v="0"/>
    <s v="US"/>
    <s v="M"/>
    <x v="2"/>
  </r>
  <r>
    <n v="306"/>
    <n v="2022"/>
    <x v="1"/>
    <s v="SE"/>
    <x v="0"/>
    <x v="0"/>
    <s v="Data Analyst"/>
    <n v="116000"/>
    <s v="USD"/>
    <n v="116000"/>
    <s v="US"/>
    <n v="0"/>
    <s v="US"/>
    <s v="M"/>
    <x v="2"/>
  </r>
  <r>
    <n v="307"/>
    <n v="2022"/>
    <x v="0"/>
    <s v="MI"/>
    <x v="0"/>
    <x v="0"/>
    <s v="Data Analyst"/>
    <n v="106260"/>
    <s v="USD"/>
    <n v="106260"/>
    <s v="US"/>
    <n v="0"/>
    <s v="US"/>
    <s v="M"/>
    <x v="2"/>
  </r>
  <r>
    <n v="308"/>
    <n v="2022"/>
    <x v="0"/>
    <s v="MI"/>
    <x v="0"/>
    <x v="0"/>
    <s v="Data Analyst"/>
    <n v="126500"/>
    <s v="USD"/>
    <n v="126500"/>
    <s v="US"/>
    <n v="0"/>
    <s v="US"/>
    <s v="M"/>
    <x v="2"/>
  </r>
  <r>
    <n v="309"/>
    <n v="2022"/>
    <x v="3"/>
    <s v="EX"/>
    <x v="0"/>
    <x v="0"/>
    <s v="Data Engineer"/>
    <n v="242000"/>
    <s v="USD"/>
    <n v="242000"/>
    <s v="US"/>
    <n v="100"/>
    <s v="US"/>
    <s v="M"/>
    <x v="2"/>
  </r>
  <r>
    <n v="310"/>
    <n v="2022"/>
    <x v="3"/>
    <s v="EX"/>
    <x v="0"/>
    <x v="0"/>
    <s v="Data Engineer"/>
    <n v="200000"/>
    <s v="USD"/>
    <n v="200000"/>
    <s v="US"/>
    <n v="100"/>
    <s v="US"/>
    <s v="M"/>
    <x v="2"/>
  </r>
  <r>
    <n v="311"/>
    <n v="2022"/>
    <x v="0"/>
    <s v="MI"/>
    <x v="0"/>
    <x v="0"/>
    <s v="Data Scientist"/>
    <n v="50000"/>
    <s v="GBP"/>
    <n v="65438"/>
    <s v="GB"/>
    <n v="0"/>
    <s v="GB"/>
    <s v="M"/>
    <x v="2"/>
  </r>
  <r>
    <n v="312"/>
    <n v="2022"/>
    <x v="0"/>
    <s v="MI"/>
    <x v="0"/>
    <x v="0"/>
    <s v="Data Scientist"/>
    <n v="30000"/>
    <s v="GBP"/>
    <n v="39263"/>
    <s v="GB"/>
    <n v="0"/>
    <s v="GB"/>
    <s v="M"/>
    <x v="2"/>
  </r>
  <r>
    <n v="313"/>
    <n v="2022"/>
    <x v="0"/>
    <s v="MI"/>
    <x v="0"/>
    <x v="0"/>
    <s v="Data Engineer"/>
    <n v="60000"/>
    <s v="GBP"/>
    <n v="78526"/>
    <s v="GB"/>
    <n v="0"/>
    <s v="GB"/>
    <s v="M"/>
    <x v="2"/>
  </r>
  <r>
    <n v="314"/>
    <n v="2022"/>
    <x v="0"/>
    <s v="MI"/>
    <x v="0"/>
    <x v="0"/>
    <s v="Data Engineer"/>
    <n v="40000"/>
    <s v="GBP"/>
    <n v="52351"/>
    <s v="GB"/>
    <n v="0"/>
    <s v="GB"/>
    <s v="M"/>
    <x v="2"/>
  </r>
  <r>
    <n v="315"/>
    <n v="2022"/>
    <x v="1"/>
    <s v="SE"/>
    <x v="0"/>
    <x v="0"/>
    <s v="Data Scientist"/>
    <n v="165220"/>
    <s v="USD"/>
    <n v="165220"/>
    <s v="US"/>
    <n v="100"/>
    <s v="US"/>
    <s v="M"/>
    <x v="2"/>
  </r>
  <r>
    <n v="316"/>
    <n v="2022"/>
    <x v="2"/>
    <s v="EN"/>
    <x v="0"/>
    <x v="0"/>
    <s v="Data Engineer"/>
    <n v="35000"/>
    <s v="GBP"/>
    <n v="45807"/>
    <s v="GB"/>
    <n v="100"/>
    <s v="GB"/>
    <s v="M"/>
    <x v="2"/>
  </r>
  <r>
    <n v="317"/>
    <n v="2022"/>
    <x v="1"/>
    <s v="SE"/>
    <x v="0"/>
    <x v="0"/>
    <s v="Data Scientist"/>
    <n v="120160"/>
    <s v="USD"/>
    <n v="120160"/>
    <s v="US"/>
    <n v="100"/>
    <s v="US"/>
    <s v="M"/>
    <x v="2"/>
  </r>
  <r>
    <n v="318"/>
    <n v="2022"/>
    <x v="1"/>
    <s v="SE"/>
    <x v="0"/>
    <x v="0"/>
    <s v="Data Analyst"/>
    <n v="90320"/>
    <s v="USD"/>
    <n v="90320"/>
    <s v="US"/>
    <n v="100"/>
    <s v="US"/>
    <s v="M"/>
    <x v="2"/>
  </r>
  <r>
    <n v="319"/>
    <n v="2022"/>
    <x v="1"/>
    <s v="SE"/>
    <x v="0"/>
    <x v="0"/>
    <s v="Data Engineer"/>
    <n v="181940"/>
    <s v="USD"/>
    <n v="181940"/>
    <s v="US"/>
    <n v="0"/>
    <s v="US"/>
    <s v="M"/>
    <x v="2"/>
  </r>
  <r>
    <n v="320"/>
    <n v="2022"/>
    <x v="1"/>
    <s v="SE"/>
    <x v="0"/>
    <x v="0"/>
    <s v="Data Engineer"/>
    <n v="132320"/>
    <s v="USD"/>
    <n v="132320"/>
    <s v="US"/>
    <n v="0"/>
    <s v="US"/>
    <s v="M"/>
    <x v="2"/>
  </r>
  <r>
    <n v="321"/>
    <n v="2022"/>
    <x v="1"/>
    <s v="SE"/>
    <x v="0"/>
    <x v="0"/>
    <s v="Data Engineer"/>
    <n v="220110"/>
    <s v="USD"/>
    <n v="220110"/>
    <s v="US"/>
    <n v="0"/>
    <s v="US"/>
    <s v="M"/>
    <x v="2"/>
  </r>
  <r>
    <n v="322"/>
    <n v="2022"/>
    <x v="1"/>
    <s v="SE"/>
    <x v="0"/>
    <x v="0"/>
    <s v="Data Engineer"/>
    <n v="160080"/>
    <s v="USD"/>
    <n v="160080"/>
    <s v="US"/>
    <n v="0"/>
    <s v="US"/>
    <s v="M"/>
    <x v="2"/>
  </r>
  <r>
    <n v="323"/>
    <n v="2022"/>
    <x v="1"/>
    <s v="SE"/>
    <x v="0"/>
    <x v="0"/>
    <s v="Data Scientist"/>
    <n v="180000"/>
    <s v="USD"/>
    <n v="180000"/>
    <s v="US"/>
    <n v="0"/>
    <s v="US"/>
    <s v="L"/>
    <x v="0"/>
  </r>
  <r>
    <n v="324"/>
    <n v="2022"/>
    <x v="1"/>
    <s v="SE"/>
    <x v="0"/>
    <x v="0"/>
    <s v="Data Scientist"/>
    <n v="120000"/>
    <s v="USD"/>
    <n v="120000"/>
    <s v="US"/>
    <n v="0"/>
    <s v="US"/>
    <s v="L"/>
    <x v="0"/>
  </r>
  <r>
    <n v="325"/>
    <n v="2022"/>
    <x v="1"/>
    <s v="SE"/>
    <x v="0"/>
    <x v="0"/>
    <s v="Data Analyst"/>
    <n v="124190"/>
    <s v="USD"/>
    <n v="124190"/>
    <s v="US"/>
    <n v="100"/>
    <s v="US"/>
    <s v="M"/>
    <x v="2"/>
  </r>
  <r>
    <n v="326"/>
    <n v="2022"/>
    <x v="3"/>
    <s v="EX"/>
    <x v="0"/>
    <x v="0"/>
    <s v="Data Analyst"/>
    <n v="130000"/>
    <s v="USD"/>
    <n v="130000"/>
    <s v="US"/>
    <n v="100"/>
    <s v="US"/>
    <s v="M"/>
    <x v="2"/>
  </r>
  <r>
    <n v="327"/>
    <n v="2022"/>
    <x v="3"/>
    <s v="EX"/>
    <x v="0"/>
    <x v="0"/>
    <s v="Data Analyst"/>
    <n v="110000"/>
    <s v="USD"/>
    <n v="110000"/>
    <s v="US"/>
    <n v="100"/>
    <s v="US"/>
    <s v="M"/>
    <x v="2"/>
  </r>
  <r>
    <n v="328"/>
    <n v="2022"/>
    <x v="1"/>
    <s v="SE"/>
    <x v="0"/>
    <x v="0"/>
    <s v="Data Analyst"/>
    <n v="170000"/>
    <s v="USD"/>
    <n v="170000"/>
    <s v="US"/>
    <n v="100"/>
    <s v="US"/>
    <s v="M"/>
    <x v="2"/>
  </r>
  <r>
    <n v="329"/>
    <n v="2022"/>
    <x v="0"/>
    <s v="MI"/>
    <x v="0"/>
    <x v="0"/>
    <s v="Data Analyst"/>
    <n v="115500"/>
    <s v="USD"/>
    <n v="115500"/>
    <s v="US"/>
    <n v="100"/>
    <s v="US"/>
    <s v="M"/>
    <x v="2"/>
  </r>
  <r>
    <n v="330"/>
    <n v="2022"/>
    <x v="1"/>
    <s v="SE"/>
    <x v="0"/>
    <x v="0"/>
    <s v="Data Analyst"/>
    <n v="112900"/>
    <s v="USD"/>
    <n v="112900"/>
    <s v="US"/>
    <n v="100"/>
    <s v="US"/>
    <s v="M"/>
    <x v="2"/>
  </r>
  <r>
    <n v="331"/>
    <n v="2022"/>
    <x v="1"/>
    <s v="SE"/>
    <x v="0"/>
    <x v="0"/>
    <s v="Data Analyst"/>
    <n v="90320"/>
    <s v="USD"/>
    <n v="90320"/>
    <s v="US"/>
    <n v="100"/>
    <s v="US"/>
    <s v="M"/>
    <x v="2"/>
  </r>
  <r>
    <n v="332"/>
    <n v="2022"/>
    <x v="1"/>
    <s v="SE"/>
    <x v="0"/>
    <x v="0"/>
    <s v="Data Analyst"/>
    <n v="112900"/>
    <s v="USD"/>
    <n v="112900"/>
    <s v="US"/>
    <n v="100"/>
    <s v="US"/>
    <s v="M"/>
    <x v="2"/>
  </r>
  <r>
    <n v="333"/>
    <n v="2022"/>
    <x v="1"/>
    <s v="SE"/>
    <x v="0"/>
    <x v="0"/>
    <s v="Data Analyst"/>
    <n v="90320"/>
    <s v="USD"/>
    <n v="90320"/>
    <s v="US"/>
    <n v="100"/>
    <s v="US"/>
    <s v="M"/>
    <x v="2"/>
  </r>
  <r>
    <n v="334"/>
    <n v="2022"/>
    <x v="1"/>
    <s v="SE"/>
    <x v="0"/>
    <x v="0"/>
    <s v="Data Engineer"/>
    <n v="165400"/>
    <s v="USD"/>
    <n v="165400"/>
    <s v="US"/>
    <n v="100"/>
    <s v="US"/>
    <s v="M"/>
    <x v="2"/>
  </r>
  <r>
    <n v="335"/>
    <n v="2022"/>
    <x v="1"/>
    <s v="SE"/>
    <x v="0"/>
    <x v="0"/>
    <s v="Data Engineer"/>
    <n v="132320"/>
    <s v="USD"/>
    <n v="132320"/>
    <s v="US"/>
    <n v="100"/>
    <s v="US"/>
    <s v="M"/>
    <x v="2"/>
  </r>
  <r>
    <n v="336"/>
    <n v="2022"/>
    <x v="0"/>
    <s v="MI"/>
    <x v="0"/>
    <x v="0"/>
    <s v="Data Analyst"/>
    <n v="167000"/>
    <s v="USD"/>
    <n v="167000"/>
    <s v="US"/>
    <n v="100"/>
    <s v="US"/>
    <s v="M"/>
    <x v="2"/>
  </r>
  <r>
    <n v="337"/>
    <n v="2022"/>
    <x v="1"/>
    <s v="SE"/>
    <x v="0"/>
    <x v="0"/>
    <s v="Data Engineer"/>
    <n v="243900"/>
    <s v="USD"/>
    <n v="243900"/>
    <s v="US"/>
    <n v="100"/>
    <s v="US"/>
    <s v="M"/>
    <x v="2"/>
  </r>
  <r>
    <n v="338"/>
    <n v="2022"/>
    <x v="1"/>
    <s v="SE"/>
    <x v="0"/>
    <x v="0"/>
    <s v="Data Analyst"/>
    <n v="136600"/>
    <s v="USD"/>
    <n v="136600"/>
    <s v="US"/>
    <n v="100"/>
    <s v="US"/>
    <s v="M"/>
    <x v="2"/>
  </r>
  <r>
    <n v="339"/>
    <n v="2022"/>
    <x v="1"/>
    <s v="SE"/>
    <x v="0"/>
    <x v="0"/>
    <s v="Data Analyst"/>
    <n v="109280"/>
    <s v="USD"/>
    <n v="109280"/>
    <s v="US"/>
    <n v="100"/>
    <s v="US"/>
    <s v="M"/>
    <x v="2"/>
  </r>
  <r>
    <n v="340"/>
    <n v="2022"/>
    <x v="1"/>
    <s v="SE"/>
    <x v="0"/>
    <x v="0"/>
    <s v="Data Engineer"/>
    <n v="128875"/>
    <s v="USD"/>
    <n v="128875"/>
    <s v="US"/>
    <n v="100"/>
    <s v="US"/>
    <s v="M"/>
    <x v="2"/>
  </r>
  <r>
    <n v="341"/>
    <n v="2022"/>
    <x v="1"/>
    <s v="SE"/>
    <x v="0"/>
    <x v="0"/>
    <s v="Data Engineer"/>
    <n v="93700"/>
    <s v="USD"/>
    <n v="93700"/>
    <s v="US"/>
    <n v="100"/>
    <s v="US"/>
    <s v="M"/>
    <x v="2"/>
  </r>
  <r>
    <n v="342"/>
    <n v="2022"/>
    <x v="3"/>
    <s v="EX"/>
    <x v="0"/>
    <x v="0"/>
    <s v="Head of Data Science"/>
    <n v="224000"/>
    <s v="USD"/>
    <n v="224000"/>
    <s v="US"/>
    <n v="100"/>
    <s v="US"/>
    <s v="M"/>
    <x v="2"/>
  </r>
  <r>
    <n v="343"/>
    <n v="2022"/>
    <x v="3"/>
    <s v="EX"/>
    <x v="0"/>
    <x v="0"/>
    <s v="Head of Data Science"/>
    <n v="167875"/>
    <s v="USD"/>
    <n v="167875"/>
    <s v="US"/>
    <n v="100"/>
    <s v="US"/>
    <s v="M"/>
    <x v="2"/>
  </r>
  <r>
    <n v="344"/>
    <n v="2022"/>
    <x v="3"/>
    <s v="EX"/>
    <x v="0"/>
    <x v="0"/>
    <s v="Analytics Engineer"/>
    <n v="175000"/>
    <s v="USD"/>
    <n v="175000"/>
    <s v="US"/>
    <n v="100"/>
    <s v="US"/>
    <s v="M"/>
    <x v="2"/>
  </r>
  <r>
    <n v="345"/>
    <n v="2022"/>
    <x v="1"/>
    <s v="SE"/>
    <x v="0"/>
    <x v="0"/>
    <s v="Data Engineer"/>
    <n v="156600"/>
    <s v="USD"/>
    <n v="156600"/>
    <s v="US"/>
    <n v="100"/>
    <s v="US"/>
    <s v="M"/>
    <x v="2"/>
  </r>
  <r>
    <n v="346"/>
    <n v="2022"/>
    <x v="1"/>
    <s v="SE"/>
    <x v="0"/>
    <x v="0"/>
    <s v="Data Engineer"/>
    <n v="108800"/>
    <s v="USD"/>
    <n v="108800"/>
    <s v="US"/>
    <n v="0"/>
    <s v="US"/>
    <s v="M"/>
    <x v="2"/>
  </r>
  <r>
    <n v="347"/>
    <n v="2022"/>
    <x v="1"/>
    <s v="SE"/>
    <x v="0"/>
    <x v="0"/>
    <s v="Data Scientist"/>
    <n v="95550"/>
    <s v="USD"/>
    <n v="95550"/>
    <s v="US"/>
    <n v="0"/>
    <s v="US"/>
    <s v="M"/>
    <x v="2"/>
  </r>
  <r>
    <n v="348"/>
    <n v="2022"/>
    <x v="1"/>
    <s v="SE"/>
    <x v="0"/>
    <x v="0"/>
    <s v="Data Engineer"/>
    <n v="113000"/>
    <s v="USD"/>
    <n v="113000"/>
    <s v="US"/>
    <n v="0"/>
    <s v="US"/>
    <s v="L"/>
    <x v="0"/>
  </r>
  <r>
    <n v="349"/>
    <n v="2022"/>
    <x v="1"/>
    <s v="SE"/>
    <x v="0"/>
    <x v="0"/>
    <s v="Data Analyst"/>
    <n v="135000"/>
    <s v="USD"/>
    <n v="135000"/>
    <s v="US"/>
    <n v="100"/>
    <s v="US"/>
    <s v="M"/>
    <x v="2"/>
  </r>
  <r>
    <n v="350"/>
    <n v="2022"/>
    <x v="1"/>
    <s v="SE"/>
    <x v="0"/>
    <x v="0"/>
    <s v="Data Science Manager"/>
    <n v="161342"/>
    <s v="USD"/>
    <n v="161342"/>
    <s v="US"/>
    <n v="100"/>
    <s v="US"/>
    <s v="M"/>
    <x v="2"/>
  </r>
  <r>
    <n v="351"/>
    <n v="2022"/>
    <x v="1"/>
    <s v="SE"/>
    <x v="0"/>
    <x v="0"/>
    <s v="Data Science Manager"/>
    <n v="137141"/>
    <s v="USD"/>
    <n v="137141"/>
    <s v="US"/>
    <n v="100"/>
    <s v="US"/>
    <s v="M"/>
    <x v="2"/>
  </r>
  <r>
    <n v="352"/>
    <n v="2022"/>
    <x v="1"/>
    <s v="SE"/>
    <x v="0"/>
    <x v="0"/>
    <s v="Data Scientist"/>
    <n v="167000"/>
    <s v="USD"/>
    <n v="167000"/>
    <s v="US"/>
    <n v="100"/>
    <s v="US"/>
    <s v="M"/>
    <x v="2"/>
  </r>
  <r>
    <n v="353"/>
    <n v="2022"/>
    <x v="1"/>
    <s v="SE"/>
    <x v="0"/>
    <x v="0"/>
    <s v="Data Scientist"/>
    <n v="123000"/>
    <s v="USD"/>
    <n v="123000"/>
    <s v="US"/>
    <n v="100"/>
    <s v="US"/>
    <s v="M"/>
    <x v="2"/>
  </r>
  <r>
    <n v="354"/>
    <n v="2022"/>
    <x v="1"/>
    <s v="SE"/>
    <x v="0"/>
    <x v="0"/>
    <s v="Data Engineer"/>
    <n v="60000"/>
    <s v="GBP"/>
    <n v="78526"/>
    <s v="GB"/>
    <n v="0"/>
    <s v="GB"/>
    <s v="M"/>
    <x v="2"/>
  </r>
  <r>
    <n v="355"/>
    <n v="2022"/>
    <x v="1"/>
    <s v="SE"/>
    <x v="0"/>
    <x v="0"/>
    <s v="Data Engineer"/>
    <n v="50000"/>
    <s v="GBP"/>
    <n v="65438"/>
    <s v="GB"/>
    <n v="0"/>
    <s v="GB"/>
    <s v="M"/>
    <x v="2"/>
  </r>
  <r>
    <n v="356"/>
    <n v="2022"/>
    <x v="1"/>
    <s v="SE"/>
    <x v="0"/>
    <x v="0"/>
    <s v="Data Scientist"/>
    <n v="150000"/>
    <s v="USD"/>
    <n v="150000"/>
    <s v="US"/>
    <n v="0"/>
    <s v="US"/>
    <s v="M"/>
    <x v="2"/>
  </r>
  <r>
    <n v="357"/>
    <n v="2022"/>
    <x v="1"/>
    <s v="SE"/>
    <x v="0"/>
    <x v="0"/>
    <s v="Data Scientist"/>
    <n v="211500"/>
    <s v="USD"/>
    <n v="211500"/>
    <s v="US"/>
    <n v="100"/>
    <s v="US"/>
    <s v="M"/>
    <x v="2"/>
  </r>
  <r>
    <n v="358"/>
    <n v="2022"/>
    <x v="1"/>
    <s v="SE"/>
    <x v="0"/>
    <x v="0"/>
    <s v="Data Architect"/>
    <n v="192400"/>
    <s v="USD"/>
    <n v="192400"/>
    <s v="CA"/>
    <n v="100"/>
    <s v="CA"/>
    <s v="M"/>
    <x v="2"/>
  </r>
  <r>
    <n v="359"/>
    <n v="2022"/>
    <x v="1"/>
    <s v="SE"/>
    <x v="0"/>
    <x v="0"/>
    <s v="Data Architect"/>
    <n v="90700"/>
    <s v="USD"/>
    <n v="90700"/>
    <s v="CA"/>
    <n v="100"/>
    <s v="CA"/>
    <s v="M"/>
    <x v="2"/>
  </r>
  <r>
    <n v="360"/>
    <n v="2022"/>
    <x v="1"/>
    <s v="SE"/>
    <x v="0"/>
    <x v="0"/>
    <s v="Data Analyst"/>
    <n v="130000"/>
    <s v="USD"/>
    <n v="130000"/>
    <s v="CA"/>
    <n v="100"/>
    <s v="CA"/>
    <s v="M"/>
    <x v="2"/>
  </r>
  <r>
    <n v="361"/>
    <n v="2022"/>
    <x v="1"/>
    <s v="SE"/>
    <x v="0"/>
    <x v="0"/>
    <s v="Data Analyst"/>
    <n v="61300"/>
    <s v="USD"/>
    <n v="61300"/>
    <s v="CA"/>
    <n v="100"/>
    <s v="CA"/>
    <s v="M"/>
    <x v="2"/>
  </r>
  <r>
    <n v="362"/>
    <n v="2022"/>
    <x v="1"/>
    <s v="SE"/>
    <x v="0"/>
    <x v="0"/>
    <s v="Data Analyst"/>
    <n v="130000"/>
    <s v="USD"/>
    <n v="130000"/>
    <s v="CA"/>
    <n v="100"/>
    <s v="CA"/>
    <s v="M"/>
    <x v="2"/>
  </r>
  <r>
    <n v="363"/>
    <n v="2022"/>
    <x v="1"/>
    <s v="SE"/>
    <x v="0"/>
    <x v="0"/>
    <s v="Data Analyst"/>
    <n v="61300"/>
    <s v="USD"/>
    <n v="61300"/>
    <s v="CA"/>
    <n v="100"/>
    <s v="CA"/>
    <s v="M"/>
    <x v="2"/>
  </r>
  <r>
    <n v="364"/>
    <n v="2022"/>
    <x v="1"/>
    <s v="SE"/>
    <x v="0"/>
    <x v="0"/>
    <s v="Data Engineer"/>
    <n v="160000"/>
    <s v="USD"/>
    <n v="160000"/>
    <s v="US"/>
    <n v="0"/>
    <s v="US"/>
    <s v="L"/>
    <x v="0"/>
  </r>
  <r>
    <n v="365"/>
    <n v="2022"/>
    <x v="1"/>
    <s v="SE"/>
    <x v="0"/>
    <x v="0"/>
    <s v="Data Scientist"/>
    <n v="138600"/>
    <s v="USD"/>
    <n v="138600"/>
    <s v="US"/>
    <n v="100"/>
    <s v="US"/>
    <s v="M"/>
    <x v="2"/>
  </r>
  <r>
    <n v="366"/>
    <n v="2022"/>
    <x v="1"/>
    <s v="SE"/>
    <x v="0"/>
    <x v="0"/>
    <s v="Data Engineer"/>
    <n v="136000"/>
    <s v="USD"/>
    <n v="136000"/>
    <s v="US"/>
    <n v="0"/>
    <s v="US"/>
    <s v="M"/>
    <x v="2"/>
  </r>
  <r>
    <n v="367"/>
    <n v="2022"/>
    <x v="0"/>
    <s v="MI"/>
    <x v="0"/>
    <x v="0"/>
    <s v="Data Analyst"/>
    <n v="58000"/>
    <s v="USD"/>
    <n v="58000"/>
    <s v="US"/>
    <n v="0"/>
    <s v="US"/>
    <s v="S"/>
    <x v="1"/>
  </r>
  <r>
    <n v="368"/>
    <n v="2022"/>
    <x v="3"/>
    <s v="EX"/>
    <x v="0"/>
    <x v="0"/>
    <s v="Analytics Engineer"/>
    <n v="135000"/>
    <s v="USD"/>
    <n v="135000"/>
    <s v="US"/>
    <n v="100"/>
    <s v="US"/>
    <s v="M"/>
    <x v="2"/>
  </r>
  <r>
    <n v="369"/>
    <n v="2022"/>
    <x v="1"/>
    <s v="SE"/>
    <x v="0"/>
    <x v="0"/>
    <s v="Data Scientist"/>
    <n v="170000"/>
    <s v="USD"/>
    <n v="170000"/>
    <s v="US"/>
    <n v="100"/>
    <s v="US"/>
    <s v="M"/>
    <x v="2"/>
  </r>
  <r>
    <n v="370"/>
    <n v="2022"/>
    <x v="1"/>
    <s v="SE"/>
    <x v="0"/>
    <x v="0"/>
    <s v="Data Scientist"/>
    <n v="123000"/>
    <s v="USD"/>
    <n v="123000"/>
    <s v="US"/>
    <n v="100"/>
    <s v="US"/>
    <s v="M"/>
    <x v="2"/>
  </r>
  <r>
    <n v="371"/>
    <n v="2022"/>
    <x v="1"/>
    <s v="SE"/>
    <x v="0"/>
    <x v="0"/>
    <s v="Machine Learning Engineer"/>
    <n v="189650"/>
    <s v="USD"/>
    <n v="189650"/>
    <s v="US"/>
    <n v="0"/>
    <s v="US"/>
    <s v="M"/>
    <x v="2"/>
  </r>
  <r>
    <n v="372"/>
    <n v="2022"/>
    <x v="1"/>
    <s v="SE"/>
    <x v="0"/>
    <x v="0"/>
    <s v="Machine Learning Engineer"/>
    <n v="164996"/>
    <s v="USD"/>
    <n v="164996"/>
    <s v="US"/>
    <n v="0"/>
    <s v="US"/>
    <s v="M"/>
    <x v="2"/>
  </r>
  <r>
    <n v="373"/>
    <n v="2022"/>
    <x v="0"/>
    <s v="MI"/>
    <x v="0"/>
    <x v="0"/>
    <s v="ETL Developer"/>
    <n v="50000"/>
    <s v="EUR"/>
    <n v="54957"/>
    <s v="GR"/>
    <n v="0"/>
    <s v="GR"/>
    <s v="M"/>
    <x v="2"/>
  </r>
  <r>
    <n v="374"/>
    <n v="2022"/>
    <x v="0"/>
    <s v="MI"/>
    <x v="0"/>
    <x v="0"/>
    <s v="ETL Developer"/>
    <n v="50000"/>
    <s v="EUR"/>
    <n v="54957"/>
    <s v="GR"/>
    <n v="0"/>
    <s v="GR"/>
    <s v="M"/>
    <x v="2"/>
  </r>
  <r>
    <n v="375"/>
    <n v="2022"/>
    <x v="3"/>
    <s v="EX"/>
    <x v="0"/>
    <x v="0"/>
    <s v="Lead Data Engineer"/>
    <n v="150000"/>
    <s v="CAD"/>
    <n v="118187"/>
    <s v="CA"/>
    <n v="100"/>
    <s v="CA"/>
    <s v="S"/>
    <x v="1"/>
  </r>
  <r>
    <n v="376"/>
    <n v="2022"/>
    <x v="1"/>
    <s v="SE"/>
    <x v="0"/>
    <x v="0"/>
    <s v="Data Analyst"/>
    <n v="132000"/>
    <s v="USD"/>
    <n v="132000"/>
    <s v="US"/>
    <n v="0"/>
    <s v="US"/>
    <s v="M"/>
    <x v="2"/>
  </r>
  <r>
    <n v="377"/>
    <n v="2022"/>
    <x v="1"/>
    <s v="SE"/>
    <x v="0"/>
    <x v="0"/>
    <s v="Data Engineer"/>
    <n v="165400"/>
    <s v="USD"/>
    <n v="165400"/>
    <s v="US"/>
    <n v="100"/>
    <s v="US"/>
    <s v="M"/>
    <x v="2"/>
  </r>
  <r>
    <n v="378"/>
    <n v="2022"/>
    <x v="1"/>
    <s v="SE"/>
    <x v="0"/>
    <x v="0"/>
    <s v="Data Architect"/>
    <n v="208775"/>
    <s v="USD"/>
    <n v="208775"/>
    <s v="US"/>
    <n v="100"/>
    <s v="US"/>
    <s v="M"/>
    <x v="2"/>
  </r>
  <r>
    <n v="379"/>
    <n v="2022"/>
    <x v="1"/>
    <s v="SE"/>
    <x v="0"/>
    <x v="0"/>
    <s v="Data Architect"/>
    <n v="147800"/>
    <s v="USD"/>
    <n v="147800"/>
    <s v="US"/>
    <n v="100"/>
    <s v="US"/>
    <s v="M"/>
    <x v="2"/>
  </r>
  <r>
    <n v="380"/>
    <n v="2022"/>
    <x v="1"/>
    <s v="SE"/>
    <x v="0"/>
    <x v="0"/>
    <s v="Data Engineer"/>
    <n v="136994"/>
    <s v="USD"/>
    <n v="136994"/>
    <s v="US"/>
    <n v="100"/>
    <s v="US"/>
    <s v="M"/>
    <x v="2"/>
  </r>
  <r>
    <n v="381"/>
    <n v="2022"/>
    <x v="1"/>
    <s v="SE"/>
    <x v="0"/>
    <x v="0"/>
    <s v="Data Engineer"/>
    <n v="101570"/>
    <s v="USD"/>
    <n v="101570"/>
    <s v="US"/>
    <n v="100"/>
    <s v="US"/>
    <s v="M"/>
    <x v="2"/>
  </r>
  <r>
    <n v="382"/>
    <n v="2022"/>
    <x v="1"/>
    <s v="SE"/>
    <x v="0"/>
    <x v="0"/>
    <s v="Data Analyst"/>
    <n v="128875"/>
    <s v="USD"/>
    <n v="128875"/>
    <s v="US"/>
    <n v="100"/>
    <s v="US"/>
    <s v="M"/>
    <x v="2"/>
  </r>
  <r>
    <n v="383"/>
    <n v="2022"/>
    <x v="1"/>
    <s v="SE"/>
    <x v="0"/>
    <x v="0"/>
    <s v="Data Analyst"/>
    <n v="93700"/>
    <s v="USD"/>
    <n v="93700"/>
    <s v="US"/>
    <n v="100"/>
    <s v="US"/>
    <s v="M"/>
    <x v="2"/>
  </r>
  <r>
    <n v="384"/>
    <n v="2022"/>
    <x v="3"/>
    <s v="EX"/>
    <x v="0"/>
    <x v="0"/>
    <s v="Head of Machine Learning"/>
    <n v="6000000"/>
    <s v="INR"/>
    <n v="79039"/>
    <s v="IN"/>
    <n v="50"/>
    <s v="IN"/>
    <s v="L"/>
    <x v="0"/>
  </r>
  <r>
    <n v="385"/>
    <n v="2022"/>
    <x v="1"/>
    <s v="SE"/>
    <x v="0"/>
    <x v="0"/>
    <s v="Data Engineer"/>
    <n v="132320"/>
    <s v="USD"/>
    <n v="132320"/>
    <s v="US"/>
    <n v="100"/>
    <s v="US"/>
    <s v="M"/>
    <x v="2"/>
  </r>
  <r>
    <n v="386"/>
    <n v="2022"/>
    <x v="2"/>
    <s v="EN"/>
    <x v="0"/>
    <x v="0"/>
    <s v="Machine Learning Engineer"/>
    <n v="28500"/>
    <s v="GBP"/>
    <n v="37300"/>
    <s v="GB"/>
    <n v="100"/>
    <s v="GB"/>
    <s v="L"/>
    <x v="0"/>
  </r>
  <r>
    <n v="387"/>
    <n v="2022"/>
    <x v="1"/>
    <s v="SE"/>
    <x v="0"/>
    <x v="0"/>
    <s v="Data Analyst"/>
    <n v="164000"/>
    <s v="USD"/>
    <n v="164000"/>
    <s v="US"/>
    <n v="0"/>
    <s v="US"/>
    <s v="M"/>
    <x v="2"/>
  </r>
  <r>
    <n v="388"/>
    <n v="2022"/>
    <x v="1"/>
    <s v="SE"/>
    <x v="0"/>
    <x v="0"/>
    <s v="Data Engineer"/>
    <n v="155000"/>
    <s v="USD"/>
    <n v="155000"/>
    <s v="US"/>
    <n v="100"/>
    <s v="US"/>
    <s v="M"/>
    <x v="2"/>
  </r>
  <r>
    <n v="389"/>
    <n v="2022"/>
    <x v="0"/>
    <s v="MI"/>
    <x v="0"/>
    <x v="0"/>
    <s v="Machine Learning Engineer"/>
    <n v="95000"/>
    <s v="GBP"/>
    <n v="124333"/>
    <s v="GB"/>
    <n v="0"/>
    <s v="GB"/>
    <s v="M"/>
    <x v="2"/>
  </r>
  <r>
    <n v="390"/>
    <n v="2022"/>
    <x v="0"/>
    <s v="MI"/>
    <x v="0"/>
    <x v="0"/>
    <s v="Machine Learning Engineer"/>
    <n v="75000"/>
    <s v="GBP"/>
    <n v="98158"/>
    <s v="GB"/>
    <n v="0"/>
    <s v="GB"/>
    <s v="M"/>
    <x v="2"/>
  </r>
  <r>
    <n v="391"/>
    <n v="2022"/>
    <x v="0"/>
    <s v="MI"/>
    <x v="0"/>
    <x v="0"/>
    <s v="AI Scientist"/>
    <n v="120000"/>
    <s v="USD"/>
    <n v="120000"/>
    <s v="US"/>
    <n v="0"/>
    <s v="US"/>
    <s v="M"/>
    <x v="2"/>
  </r>
  <r>
    <n v="392"/>
    <n v="2022"/>
    <x v="1"/>
    <s v="SE"/>
    <x v="0"/>
    <x v="0"/>
    <s v="Data Analyst"/>
    <n v="112900"/>
    <s v="USD"/>
    <n v="112900"/>
    <s v="US"/>
    <n v="100"/>
    <s v="US"/>
    <s v="M"/>
    <x v="2"/>
  </r>
  <r>
    <n v="393"/>
    <n v="2022"/>
    <x v="1"/>
    <s v="SE"/>
    <x v="0"/>
    <x v="0"/>
    <s v="Data Analyst"/>
    <n v="90320"/>
    <s v="USD"/>
    <n v="90320"/>
    <s v="US"/>
    <n v="100"/>
    <s v="US"/>
    <s v="M"/>
    <x v="2"/>
  </r>
  <r>
    <n v="394"/>
    <n v="2022"/>
    <x v="1"/>
    <s v="SE"/>
    <x v="0"/>
    <x v="0"/>
    <s v="Data Analytics Manager"/>
    <n v="145000"/>
    <s v="USD"/>
    <n v="145000"/>
    <s v="US"/>
    <n v="100"/>
    <s v="US"/>
    <s v="M"/>
    <x v="2"/>
  </r>
  <r>
    <n v="395"/>
    <n v="2022"/>
    <x v="1"/>
    <s v="SE"/>
    <x v="0"/>
    <x v="0"/>
    <s v="Data Analytics Manager"/>
    <n v="105400"/>
    <s v="USD"/>
    <n v="105400"/>
    <s v="US"/>
    <n v="100"/>
    <s v="US"/>
    <s v="M"/>
    <x v="2"/>
  </r>
  <r>
    <n v="396"/>
    <n v="2022"/>
    <x v="0"/>
    <s v="MI"/>
    <x v="0"/>
    <x v="0"/>
    <s v="Machine Learning Engineer"/>
    <n v="80000"/>
    <s v="EUR"/>
    <n v="87932"/>
    <s v="FR"/>
    <n v="100"/>
    <s v="DE"/>
    <s v="M"/>
    <x v="2"/>
  </r>
  <r>
    <n v="397"/>
    <n v="2022"/>
    <x v="0"/>
    <s v="MI"/>
    <x v="0"/>
    <x v="0"/>
    <s v="Data Engineer"/>
    <n v="90000"/>
    <s v="GBP"/>
    <n v="117789"/>
    <s v="GB"/>
    <n v="0"/>
    <s v="GB"/>
    <s v="M"/>
    <x v="2"/>
  </r>
  <r>
    <n v="398"/>
    <n v="2022"/>
    <x v="1"/>
    <s v="SE"/>
    <x v="0"/>
    <x v="0"/>
    <s v="Data Scientist"/>
    <n v="215300"/>
    <s v="USD"/>
    <n v="215300"/>
    <s v="US"/>
    <n v="100"/>
    <s v="US"/>
    <s v="L"/>
    <x v="0"/>
  </r>
  <r>
    <n v="399"/>
    <n v="2022"/>
    <x v="1"/>
    <s v="SE"/>
    <x v="0"/>
    <x v="0"/>
    <s v="Data Scientist"/>
    <n v="158200"/>
    <s v="USD"/>
    <n v="158200"/>
    <s v="US"/>
    <n v="100"/>
    <s v="US"/>
    <s v="L"/>
    <x v="0"/>
  </r>
  <r>
    <n v="400"/>
    <n v="2022"/>
    <x v="1"/>
    <s v="SE"/>
    <x v="0"/>
    <x v="0"/>
    <s v="Data Engineer"/>
    <n v="209100"/>
    <s v="USD"/>
    <n v="209100"/>
    <s v="US"/>
    <n v="100"/>
    <s v="US"/>
    <s v="L"/>
    <x v="0"/>
  </r>
  <r>
    <n v="401"/>
    <n v="2022"/>
    <x v="1"/>
    <s v="SE"/>
    <x v="0"/>
    <x v="0"/>
    <s v="Data Engineer"/>
    <n v="154600"/>
    <s v="USD"/>
    <n v="154600"/>
    <s v="US"/>
    <n v="100"/>
    <s v="US"/>
    <s v="L"/>
    <x v="0"/>
  </r>
  <r>
    <n v="402"/>
    <n v="2022"/>
    <x v="1"/>
    <s v="SE"/>
    <x v="0"/>
    <x v="0"/>
    <s v="Data Analyst"/>
    <n v="115934"/>
    <s v="USD"/>
    <n v="115934"/>
    <s v="US"/>
    <n v="0"/>
    <s v="US"/>
    <s v="M"/>
    <x v="2"/>
  </r>
  <r>
    <n v="403"/>
    <n v="2022"/>
    <x v="1"/>
    <s v="SE"/>
    <x v="0"/>
    <x v="0"/>
    <s v="Data Analyst"/>
    <n v="81666"/>
    <s v="USD"/>
    <n v="81666"/>
    <s v="US"/>
    <n v="0"/>
    <s v="US"/>
    <s v="M"/>
    <x v="2"/>
  </r>
  <r>
    <n v="404"/>
    <n v="2022"/>
    <x v="1"/>
    <s v="SE"/>
    <x v="0"/>
    <x v="0"/>
    <s v="Data Engineer"/>
    <n v="175000"/>
    <s v="USD"/>
    <n v="175000"/>
    <s v="US"/>
    <n v="100"/>
    <s v="US"/>
    <s v="M"/>
    <x v="2"/>
  </r>
  <r>
    <n v="405"/>
    <n v="2022"/>
    <x v="0"/>
    <s v="MI"/>
    <x v="0"/>
    <x v="0"/>
    <s v="Data Engineer"/>
    <n v="75000"/>
    <s v="GBP"/>
    <n v="98158"/>
    <s v="GB"/>
    <n v="0"/>
    <s v="GB"/>
    <s v="M"/>
    <x v="2"/>
  </r>
  <r>
    <n v="406"/>
    <n v="2022"/>
    <x v="0"/>
    <s v="MI"/>
    <x v="0"/>
    <x v="0"/>
    <s v="Data Analyst"/>
    <n v="58000"/>
    <s v="USD"/>
    <n v="58000"/>
    <s v="US"/>
    <n v="0"/>
    <s v="US"/>
    <s v="S"/>
    <x v="1"/>
  </r>
  <r>
    <n v="407"/>
    <n v="2022"/>
    <x v="1"/>
    <s v="SE"/>
    <x v="0"/>
    <x v="0"/>
    <s v="Data Engineer"/>
    <n v="183600"/>
    <s v="USD"/>
    <n v="183600"/>
    <s v="US"/>
    <n v="100"/>
    <s v="US"/>
    <s v="L"/>
    <x v="0"/>
  </r>
  <r>
    <n v="408"/>
    <n v="2022"/>
    <x v="0"/>
    <s v="MI"/>
    <x v="0"/>
    <x v="0"/>
    <s v="Data Analyst"/>
    <n v="40000"/>
    <s v="GBP"/>
    <n v="52351"/>
    <s v="GB"/>
    <n v="100"/>
    <s v="GB"/>
    <s v="M"/>
    <x v="2"/>
  </r>
  <r>
    <n v="409"/>
    <n v="2022"/>
    <x v="1"/>
    <s v="SE"/>
    <x v="0"/>
    <x v="0"/>
    <s v="Data Scientist"/>
    <n v="180000"/>
    <s v="USD"/>
    <n v="180000"/>
    <s v="US"/>
    <n v="100"/>
    <s v="US"/>
    <s v="M"/>
    <x v="2"/>
  </r>
  <r>
    <n v="410"/>
    <n v="2022"/>
    <x v="0"/>
    <s v="MI"/>
    <x v="0"/>
    <x v="0"/>
    <s v="Data Scientist"/>
    <n v="55000"/>
    <s v="GBP"/>
    <n v="71982"/>
    <s v="GB"/>
    <n v="0"/>
    <s v="GB"/>
    <s v="M"/>
    <x v="2"/>
  </r>
  <r>
    <n v="411"/>
    <n v="2022"/>
    <x v="0"/>
    <s v="MI"/>
    <x v="0"/>
    <x v="0"/>
    <s v="Data Scientist"/>
    <n v="35000"/>
    <s v="GBP"/>
    <n v="45807"/>
    <s v="GB"/>
    <n v="0"/>
    <s v="GB"/>
    <s v="M"/>
    <x v="2"/>
  </r>
  <r>
    <n v="412"/>
    <n v="2022"/>
    <x v="0"/>
    <s v="MI"/>
    <x v="0"/>
    <x v="0"/>
    <s v="Data Engineer"/>
    <n v="60000"/>
    <s v="EUR"/>
    <n v="65949"/>
    <s v="GR"/>
    <n v="100"/>
    <s v="GR"/>
    <s v="M"/>
    <x v="2"/>
  </r>
  <r>
    <n v="413"/>
    <n v="2022"/>
    <x v="0"/>
    <s v="MI"/>
    <x v="0"/>
    <x v="0"/>
    <s v="Data Engineer"/>
    <n v="45000"/>
    <s v="EUR"/>
    <n v="49461"/>
    <s v="GR"/>
    <n v="100"/>
    <s v="GR"/>
    <s v="M"/>
    <x v="2"/>
  </r>
  <r>
    <n v="414"/>
    <n v="2022"/>
    <x v="0"/>
    <s v="MI"/>
    <x v="0"/>
    <x v="0"/>
    <s v="Data Engineer"/>
    <n v="60000"/>
    <s v="GBP"/>
    <n v="78526"/>
    <s v="GB"/>
    <n v="100"/>
    <s v="GB"/>
    <s v="M"/>
    <x v="2"/>
  </r>
  <r>
    <n v="415"/>
    <n v="2022"/>
    <x v="0"/>
    <s v="MI"/>
    <x v="0"/>
    <x v="0"/>
    <s v="Data Engineer"/>
    <n v="45000"/>
    <s v="GBP"/>
    <n v="58894"/>
    <s v="GB"/>
    <n v="100"/>
    <s v="GB"/>
    <s v="M"/>
    <x v="2"/>
  </r>
  <r>
    <n v="416"/>
    <n v="2022"/>
    <x v="1"/>
    <s v="SE"/>
    <x v="0"/>
    <x v="0"/>
    <s v="Data Scientist"/>
    <n v="260000"/>
    <s v="USD"/>
    <n v="260000"/>
    <s v="US"/>
    <n v="100"/>
    <s v="US"/>
    <s v="M"/>
    <x v="2"/>
  </r>
  <r>
    <n v="417"/>
    <n v="2022"/>
    <x v="1"/>
    <s v="SE"/>
    <x v="0"/>
    <x v="0"/>
    <s v="Data Science Engineer"/>
    <n v="60000"/>
    <s v="USD"/>
    <n v="60000"/>
    <s v="AR"/>
    <n v="100"/>
    <s v="MX"/>
    <s v="L"/>
    <x v="0"/>
  </r>
  <r>
    <n v="418"/>
    <n v="2022"/>
    <x v="0"/>
    <s v="MI"/>
    <x v="0"/>
    <x v="0"/>
    <s v="Data Engineer"/>
    <n v="63900"/>
    <s v="USD"/>
    <n v="63900"/>
    <s v="US"/>
    <n v="0"/>
    <s v="US"/>
    <s v="M"/>
    <x v="2"/>
  </r>
  <r>
    <n v="419"/>
    <n v="2022"/>
    <x v="0"/>
    <s v="MI"/>
    <x v="0"/>
    <x v="0"/>
    <s v="Machine Learning Scientist"/>
    <n v="160000"/>
    <s v="USD"/>
    <n v="160000"/>
    <s v="US"/>
    <n v="100"/>
    <s v="US"/>
    <s v="L"/>
    <x v="0"/>
  </r>
  <r>
    <n v="420"/>
    <n v="2022"/>
    <x v="0"/>
    <s v="MI"/>
    <x v="0"/>
    <x v="0"/>
    <s v="Machine Learning Scientist"/>
    <n v="112300"/>
    <s v="USD"/>
    <n v="112300"/>
    <s v="US"/>
    <n v="100"/>
    <s v="US"/>
    <s v="L"/>
    <x v="0"/>
  </r>
  <r>
    <n v="421"/>
    <n v="2022"/>
    <x v="0"/>
    <s v="MI"/>
    <x v="0"/>
    <x v="0"/>
    <s v="Data Science Manager"/>
    <n v="241000"/>
    <s v="USD"/>
    <n v="241000"/>
    <s v="US"/>
    <n v="100"/>
    <s v="US"/>
    <s v="M"/>
    <x v="2"/>
  </r>
  <r>
    <n v="422"/>
    <n v="2022"/>
    <x v="0"/>
    <s v="MI"/>
    <x v="0"/>
    <x v="0"/>
    <s v="Data Science Manager"/>
    <n v="159000"/>
    <s v="USD"/>
    <n v="159000"/>
    <s v="US"/>
    <n v="100"/>
    <s v="US"/>
    <s v="M"/>
    <x v="2"/>
  </r>
  <r>
    <n v="423"/>
    <n v="2022"/>
    <x v="1"/>
    <s v="SE"/>
    <x v="0"/>
    <x v="0"/>
    <s v="Data Scientist"/>
    <n v="180000"/>
    <s v="USD"/>
    <n v="180000"/>
    <s v="US"/>
    <n v="0"/>
    <s v="US"/>
    <s v="M"/>
    <x v="2"/>
  </r>
  <r>
    <n v="424"/>
    <n v="2022"/>
    <x v="1"/>
    <s v="SE"/>
    <x v="0"/>
    <x v="0"/>
    <s v="Data Scientist"/>
    <n v="80000"/>
    <s v="USD"/>
    <n v="80000"/>
    <s v="US"/>
    <n v="0"/>
    <s v="US"/>
    <s v="M"/>
    <x v="2"/>
  </r>
  <r>
    <n v="425"/>
    <n v="2022"/>
    <x v="0"/>
    <s v="MI"/>
    <x v="0"/>
    <x v="0"/>
    <s v="Data Engineer"/>
    <n v="82900"/>
    <s v="USD"/>
    <n v="82900"/>
    <s v="US"/>
    <n v="0"/>
    <s v="US"/>
    <s v="M"/>
    <x v="2"/>
  </r>
  <r>
    <n v="426"/>
    <n v="2022"/>
    <x v="1"/>
    <s v="SE"/>
    <x v="0"/>
    <x v="0"/>
    <s v="Data Engineer"/>
    <n v="100800"/>
    <s v="USD"/>
    <n v="100800"/>
    <s v="US"/>
    <n v="100"/>
    <s v="US"/>
    <s v="L"/>
    <x v="0"/>
  </r>
  <r>
    <n v="427"/>
    <n v="2022"/>
    <x v="0"/>
    <s v="MI"/>
    <x v="0"/>
    <x v="0"/>
    <s v="Data Engineer"/>
    <n v="45000"/>
    <s v="EUR"/>
    <n v="49461"/>
    <s v="ES"/>
    <n v="100"/>
    <s v="ES"/>
    <s v="M"/>
    <x v="2"/>
  </r>
  <r>
    <n v="428"/>
    <n v="2022"/>
    <x v="1"/>
    <s v="SE"/>
    <x v="0"/>
    <x v="0"/>
    <s v="Data Scientist"/>
    <n v="140400"/>
    <s v="USD"/>
    <n v="140400"/>
    <s v="US"/>
    <n v="0"/>
    <s v="US"/>
    <s v="L"/>
    <x v="0"/>
  </r>
  <r>
    <n v="429"/>
    <n v="2022"/>
    <x v="0"/>
    <s v="MI"/>
    <x v="0"/>
    <x v="0"/>
    <s v="Data Analyst"/>
    <n v="30000"/>
    <s v="GBP"/>
    <n v="39263"/>
    <s v="GB"/>
    <n v="100"/>
    <s v="GB"/>
    <s v="M"/>
    <x v="2"/>
  </r>
  <r>
    <n v="430"/>
    <n v="2022"/>
    <x v="0"/>
    <s v="MI"/>
    <x v="0"/>
    <x v="0"/>
    <s v="Data Analyst"/>
    <n v="40000"/>
    <s v="EUR"/>
    <n v="43966"/>
    <s v="ES"/>
    <n v="100"/>
    <s v="ES"/>
    <s v="M"/>
    <x v="2"/>
  </r>
  <r>
    <n v="431"/>
    <n v="2022"/>
    <x v="0"/>
    <s v="MI"/>
    <x v="0"/>
    <x v="0"/>
    <s v="Data Analyst"/>
    <n v="30000"/>
    <s v="EUR"/>
    <n v="32974"/>
    <s v="ES"/>
    <n v="100"/>
    <s v="ES"/>
    <s v="M"/>
    <x v="2"/>
  </r>
  <r>
    <n v="432"/>
    <n v="2022"/>
    <x v="0"/>
    <s v="MI"/>
    <x v="0"/>
    <x v="0"/>
    <s v="Data Engineer"/>
    <n v="80000"/>
    <s v="EUR"/>
    <n v="87932"/>
    <s v="ES"/>
    <n v="100"/>
    <s v="ES"/>
    <s v="M"/>
    <x v="2"/>
  </r>
  <r>
    <n v="433"/>
    <n v="2022"/>
    <x v="0"/>
    <s v="MI"/>
    <x v="0"/>
    <x v="0"/>
    <s v="Data Engineer"/>
    <n v="70000"/>
    <s v="EUR"/>
    <n v="76940"/>
    <s v="ES"/>
    <n v="100"/>
    <s v="ES"/>
    <s v="M"/>
    <x v="2"/>
  </r>
  <r>
    <n v="434"/>
    <n v="2022"/>
    <x v="0"/>
    <s v="MI"/>
    <x v="0"/>
    <x v="0"/>
    <s v="Data Engineer"/>
    <n v="80000"/>
    <s v="GBP"/>
    <n v="104702"/>
    <s v="GB"/>
    <n v="100"/>
    <s v="GB"/>
    <s v="M"/>
    <x v="2"/>
  </r>
  <r>
    <n v="435"/>
    <n v="2022"/>
    <x v="0"/>
    <s v="MI"/>
    <x v="0"/>
    <x v="0"/>
    <s v="Data Engineer"/>
    <n v="70000"/>
    <s v="GBP"/>
    <n v="91614"/>
    <s v="GB"/>
    <n v="100"/>
    <s v="GB"/>
    <s v="M"/>
    <x v="2"/>
  </r>
  <r>
    <n v="436"/>
    <n v="2022"/>
    <x v="0"/>
    <s v="MI"/>
    <x v="0"/>
    <x v="0"/>
    <s v="Data Engineer"/>
    <n v="60000"/>
    <s v="EUR"/>
    <n v="65949"/>
    <s v="ES"/>
    <n v="100"/>
    <s v="ES"/>
    <s v="M"/>
    <x v="2"/>
  </r>
  <r>
    <n v="437"/>
    <n v="2022"/>
    <x v="0"/>
    <s v="MI"/>
    <x v="0"/>
    <x v="0"/>
    <s v="Data Engineer"/>
    <n v="80000"/>
    <s v="EUR"/>
    <n v="87932"/>
    <s v="GR"/>
    <n v="100"/>
    <s v="GR"/>
    <s v="M"/>
    <x v="2"/>
  </r>
  <r>
    <n v="438"/>
    <n v="2022"/>
    <x v="1"/>
    <s v="SE"/>
    <x v="0"/>
    <x v="0"/>
    <s v="Machine Learning Engineer"/>
    <n v="189650"/>
    <s v="USD"/>
    <n v="189650"/>
    <s v="US"/>
    <n v="0"/>
    <s v="US"/>
    <s v="M"/>
    <x v="2"/>
  </r>
  <r>
    <n v="439"/>
    <n v="2022"/>
    <x v="1"/>
    <s v="SE"/>
    <x v="0"/>
    <x v="0"/>
    <s v="Machine Learning Engineer"/>
    <n v="164996"/>
    <s v="USD"/>
    <n v="164996"/>
    <s v="US"/>
    <n v="0"/>
    <s v="US"/>
    <s v="M"/>
    <x v="2"/>
  </r>
  <r>
    <n v="440"/>
    <n v="2022"/>
    <x v="0"/>
    <s v="MI"/>
    <x v="0"/>
    <x v="0"/>
    <s v="Data Analyst"/>
    <n v="40000"/>
    <s v="EUR"/>
    <n v="43966"/>
    <s v="GR"/>
    <n v="100"/>
    <s v="GR"/>
    <s v="M"/>
    <x v="2"/>
  </r>
  <r>
    <n v="441"/>
    <n v="2022"/>
    <x v="0"/>
    <s v="MI"/>
    <x v="0"/>
    <x v="0"/>
    <s v="Data Analyst"/>
    <n v="30000"/>
    <s v="EUR"/>
    <n v="32974"/>
    <s v="GR"/>
    <n v="100"/>
    <s v="GR"/>
    <s v="M"/>
    <x v="2"/>
  </r>
  <r>
    <n v="442"/>
    <n v="2022"/>
    <x v="0"/>
    <s v="MI"/>
    <x v="0"/>
    <x v="0"/>
    <s v="Data Engineer"/>
    <n v="75000"/>
    <s v="GBP"/>
    <n v="98158"/>
    <s v="GB"/>
    <n v="100"/>
    <s v="GB"/>
    <s v="M"/>
    <x v="2"/>
  </r>
  <r>
    <n v="443"/>
    <n v="2022"/>
    <x v="0"/>
    <s v="MI"/>
    <x v="0"/>
    <x v="0"/>
    <s v="Data Engineer"/>
    <n v="60000"/>
    <s v="GBP"/>
    <n v="78526"/>
    <s v="GB"/>
    <n v="100"/>
    <s v="GB"/>
    <s v="M"/>
    <x v="2"/>
  </r>
  <r>
    <n v="444"/>
    <n v="2022"/>
    <x v="1"/>
    <s v="SE"/>
    <x v="0"/>
    <x v="0"/>
    <s v="Data Scientist"/>
    <n v="215300"/>
    <s v="USD"/>
    <n v="215300"/>
    <s v="US"/>
    <n v="0"/>
    <s v="US"/>
    <s v="L"/>
    <x v="0"/>
  </r>
  <r>
    <n v="445"/>
    <n v="2022"/>
    <x v="0"/>
    <s v="MI"/>
    <x v="0"/>
    <x v="0"/>
    <s v="Data Engineer"/>
    <n v="70000"/>
    <s v="EUR"/>
    <n v="76940"/>
    <s v="GR"/>
    <n v="100"/>
    <s v="GR"/>
    <s v="M"/>
    <x v="2"/>
  </r>
  <r>
    <n v="446"/>
    <n v="2022"/>
    <x v="1"/>
    <s v="SE"/>
    <x v="0"/>
    <x v="0"/>
    <s v="Data Engineer"/>
    <n v="209100"/>
    <s v="USD"/>
    <n v="209100"/>
    <s v="US"/>
    <n v="100"/>
    <s v="US"/>
    <s v="L"/>
    <x v="0"/>
  </r>
  <r>
    <n v="447"/>
    <n v="2022"/>
    <x v="1"/>
    <s v="SE"/>
    <x v="0"/>
    <x v="0"/>
    <s v="Data Engineer"/>
    <n v="154600"/>
    <s v="USD"/>
    <n v="154600"/>
    <s v="US"/>
    <n v="100"/>
    <s v="US"/>
    <s v="L"/>
    <x v="0"/>
  </r>
  <r>
    <n v="448"/>
    <n v="2022"/>
    <x v="1"/>
    <s v="SE"/>
    <x v="0"/>
    <x v="0"/>
    <s v="Data Engineer"/>
    <n v="180000"/>
    <s v="USD"/>
    <n v="180000"/>
    <s v="US"/>
    <n v="100"/>
    <s v="US"/>
    <s v="M"/>
    <x v="2"/>
  </r>
  <r>
    <n v="449"/>
    <n v="2022"/>
    <x v="2"/>
    <s v="EN"/>
    <x v="0"/>
    <x v="0"/>
    <s v="ML Engineer"/>
    <n v="20000"/>
    <s v="EUR"/>
    <n v="21983"/>
    <s v="PT"/>
    <n v="100"/>
    <s v="PT"/>
    <s v="L"/>
    <x v="0"/>
  </r>
  <r>
    <n v="450"/>
    <n v="2022"/>
    <x v="1"/>
    <s v="SE"/>
    <x v="0"/>
    <x v="0"/>
    <s v="Data Engineer"/>
    <n v="80000"/>
    <s v="USD"/>
    <n v="80000"/>
    <s v="US"/>
    <n v="100"/>
    <s v="US"/>
    <s v="M"/>
    <x v="2"/>
  </r>
  <r>
    <n v="451"/>
    <n v="2022"/>
    <x v="0"/>
    <s v="MI"/>
    <x v="0"/>
    <x v="0"/>
    <s v="Machine Learning Developer"/>
    <n v="100000"/>
    <s v="CAD"/>
    <n v="78791"/>
    <s v="CA"/>
    <n v="100"/>
    <s v="CA"/>
    <s v="M"/>
    <x v="2"/>
  </r>
  <r>
    <n v="452"/>
    <n v="2022"/>
    <x v="3"/>
    <s v="EX"/>
    <x v="0"/>
    <x v="0"/>
    <s v="Director of Data Science"/>
    <n v="250000"/>
    <s v="CAD"/>
    <n v="196979"/>
    <s v="CA"/>
    <n v="50"/>
    <s v="CA"/>
    <s v="L"/>
    <x v="0"/>
  </r>
  <r>
    <n v="453"/>
    <n v="2022"/>
    <x v="0"/>
    <s v="MI"/>
    <x v="0"/>
    <x v="0"/>
    <s v="Machine Learning Engineer"/>
    <n v="120000"/>
    <s v="USD"/>
    <n v="120000"/>
    <s v="US"/>
    <n v="100"/>
    <s v="US"/>
    <s v="S"/>
    <x v="1"/>
  </r>
  <r>
    <n v="454"/>
    <n v="2022"/>
    <x v="2"/>
    <s v="EN"/>
    <x v="0"/>
    <x v="0"/>
    <s v="Computer Vision Engineer"/>
    <n v="125000"/>
    <s v="USD"/>
    <n v="125000"/>
    <s v="US"/>
    <n v="0"/>
    <s v="US"/>
    <s v="M"/>
    <x v="2"/>
  </r>
  <r>
    <n v="455"/>
    <n v="2022"/>
    <x v="0"/>
    <s v="MI"/>
    <x v="0"/>
    <x v="0"/>
    <s v="NLP Engineer"/>
    <n v="240000"/>
    <s v="CNY"/>
    <n v="37236"/>
    <s v="US"/>
    <n v="50"/>
    <s v="US"/>
    <s v="L"/>
    <x v="0"/>
  </r>
  <r>
    <n v="456"/>
    <n v="2022"/>
    <x v="1"/>
    <s v="SE"/>
    <x v="0"/>
    <x v="0"/>
    <s v="Data Engineer"/>
    <n v="105000"/>
    <s v="USD"/>
    <n v="105000"/>
    <s v="US"/>
    <n v="100"/>
    <s v="US"/>
    <s v="M"/>
    <x v="2"/>
  </r>
  <r>
    <n v="457"/>
    <n v="2022"/>
    <x v="1"/>
    <s v="SE"/>
    <x v="0"/>
    <x v="0"/>
    <s v="Lead Machine Learning Engineer"/>
    <n v="80000"/>
    <s v="EUR"/>
    <n v="87932"/>
    <s v="DE"/>
    <n v="0"/>
    <s v="DE"/>
    <s v="M"/>
    <x v="2"/>
  </r>
  <r>
    <n v="458"/>
    <n v="2022"/>
    <x v="0"/>
    <s v="MI"/>
    <x v="0"/>
    <x v="0"/>
    <s v="Business Data Analyst"/>
    <n v="1400000"/>
    <s v="INR"/>
    <n v="18442"/>
    <s v="IN"/>
    <n v="100"/>
    <s v="IN"/>
    <s v="M"/>
    <x v="2"/>
  </r>
  <r>
    <n v="459"/>
    <n v="2022"/>
    <x v="0"/>
    <s v="MI"/>
    <x v="0"/>
    <x v="0"/>
    <s v="Data Scientist"/>
    <n v="2400000"/>
    <s v="INR"/>
    <n v="31615"/>
    <s v="IN"/>
    <n v="100"/>
    <s v="IN"/>
    <s v="L"/>
    <x v="0"/>
  </r>
  <r>
    <n v="460"/>
    <n v="2022"/>
    <x v="0"/>
    <s v="MI"/>
    <x v="0"/>
    <x v="0"/>
    <s v="Machine Learning Infrastructure Engineer"/>
    <n v="53000"/>
    <s v="EUR"/>
    <n v="58255"/>
    <s v="PT"/>
    <n v="50"/>
    <s v="PT"/>
    <s v="L"/>
    <x v="0"/>
  </r>
  <r>
    <n v="461"/>
    <n v="2022"/>
    <x v="2"/>
    <s v="EN"/>
    <x v="0"/>
    <x v="0"/>
    <s v="Financial Data Analyst"/>
    <n v="100000"/>
    <s v="USD"/>
    <n v="100000"/>
    <s v="US"/>
    <n v="50"/>
    <s v="US"/>
    <s v="L"/>
    <x v="0"/>
  </r>
  <r>
    <n v="462"/>
    <n v="2022"/>
    <x v="0"/>
    <s v="MI"/>
    <x v="2"/>
    <x v="2"/>
    <s v="Data Engineer"/>
    <n v="50000"/>
    <s v="EUR"/>
    <n v="54957"/>
    <s v="DE"/>
    <n v="50"/>
    <s v="DE"/>
    <s v="L"/>
    <x v="0"/>
  </r>
  <r>
    <n v="463"/>
    <n v="2022"/>
    <x v="2"/>
    <s v="EN"/>
    <x v="0"/>
    <x v="0"/>
    <s v="Data Scientist"/>
    <n v="1400000"/>
    <s v="INR"/>
    <n v="18442"/>
    <s v="IN"/>
    <n v="100"/>
    <s v="IN"/>
    <s v="M"/>
    <x v="2"/>
  </r>
  <r>
    <n v="464"/>
    <n v="2022"/>
    <x v="1"/>
    <s v="SE"/>
    <x v="0"/>
    <x v="0"/>
    <s v="Principal Data Scientist"/>
    <n v="148000"/>
    <s v="EUR"/>
    <n v="162674"/>
    <s v="DE"/>
    <n v="100"/>
    <s v="DE"/>
    <s v="M"/>
    <x v="2"/>
  </r>
  <r>
    <n v="465"/>
    <n v="2022"/>
    <x v="2"/>
    <s v="EN"/>
    <x v="0"/>
    <x v="0"/>
    <s v="Data Engineer"/>
    <n v="120000"/>
    <s v="USD"/>
    <n v="120000"/>
    <s v="US"/>
    <n v="100"/>
    <s v="US"/>
    <s v="M"/>
    <x v="2"/>
  </r>
  <r>
    <n v="466"/>
    <n v="2022"/>
    <x v="1"/>
    <s v="SE"/>
    <x v="0"/>
    <x v="0"/>
    <s v="Research Scientist"/>
    <n v="144000"/>
    <s v="USD"/>
    <n v="144000"/>
    <s v="US"/>
    <n v="50"/>
    <s v="US"/>
    <s v="L"/>
    <x v="0"/>
  </r>
  <r>
    <n v="467"/>
    <n v="2022"/>
    <x v="1"/>
    <s v="SE"/>
    <x v="0"/>
    <x v="0"/>
    <s v="Data Scientist"/>
    <n v="104890"/>
    <s v="USD"/>
    <n v="104890"/>
    <s v="US"/>
    <n v="100"/>
    <s v="US"/>
    <s v="M"/>
    <x v="2"/>
  </r>
  <r>
    <n v="468"/>
    <n v="2022"/>
    <x v="1"/>
    <s v="SE"/>
    <x v="0"/>
    <x v="0"/>
    <s v="Data Engineer"/>
    <n v="100000"/>
    <s v="USD"/>
    <n v="100000"/>
    <s v="US"/>
    <n v="100"/>
    <s v="US"/>
    <s v="M"/>
    <x v="2"/>
  </r>
  <r>
    <n v="469"/>
    <n v="2022"/>
    <x v="1"/>
    <s v="SE"/>
    <x v="0"/>
    <x v="0"/>
    <s v="Data Scientist"/>
    <n v="140000"/>
    <s v="USD"/>
    <n v="140000"/>
    <s v="US"/>
    <n v="100"/>
    <s v="US"/>
    <s v="M"/>
    <x v="2"/>
  </r>
  <r>
    <n v="470"/>
    <n v="2022"/>
    <x v="0"/>
    <s v="MI"/>
    <x v="0"/>
    <x v="0"/>
    <s v="Data Analyst"/>
    <n v="135000"/>
    <s v="USD"/>
    <n v="135000"/>
    <s v="US"/>
    <n v="100"/>
    <s v="US"/>
    <s v="M"/>
    <x v="2"/>
  </r>
  <r>
    <n v="471"/>
    <n v="2022"/>
    <x v="0"/>
    <s v="MI"/>
    <x v="0"/>
    <x v="0"/>
    <s v="Data Analyst"/>
    <n v="50000"/>
    <s v="USD"/>
    <n v="50000"/>
    <s v="US"/>
    <n v="100"/>
    <s v="US"/>
    <s v="M"/>
    <x v="2"/>
  </r>
  <r>
    <n v="472"/>
    <n v="2022"/>
    <x v="1"/>
    <s v="SE"/>
    <x v="0"/>
    <x v="0"/>
    <s v="Data Scientist"/>
    <n v="220000"/>
    <s v="USD"/>
    <n v="220000"/>
    <s v="US"/>
    <n v="100"/>
    <s v="US"/>
    <s v="M"/>
    <x v="2"/>
  </r>
  <r>
    <n v="473"/>
    <n v="2022"/>
    <x v="1"/>
    <s v="SE"/>
    <x v="0"/>
    <x v="0"/>
    <s v="Data Scientist"/>
    <n v="140000"/>
    <s v="USD"/>
    <n v="140000"/>
    <s v="US"/>
    <n v="100"/>
    <s v="US"/>
    <s v="M"/>
    <x v="2"/>
  </r>
  <r>
    <n v="474"/>
    <n v="2022"/>
    <x v="0"/>
    <s v="MI"/>
    <x v="0"/>
    <x v="0"/>
    <s v="Data Scientist"/>
    <n v="140000"/>
    <s v="GBP"/>
    <n v="183228"/>
    <s v="GB"/>
    <n v="0"/>
    <s v="GB"/>
    <s v="M"/>
    <x v="2"/>
  </r>
  <r>
    <n v="475"/>
    <n v="2022"/>
    <x v="0"/>
    <s v="MI"/>
    <x v="0"/>
    <x v="0"/>
    <s v="Data Scientist"/>
    <n v="70000"/>
    <s v="GBP"/>
    <n v="91614"/>
    <s v="GB"/>
    <n v="0"/>
    <s v="GB"/>
    <s v="M"/>
    <x v="2"/>
  </r>
  <r>
    <n v="476"/>
    <n v="2022"/>
    <x v="1"/>
    <s v="SE"/>
    <x v="0"/>
    <x v="0"/>
    <s v="Data Scientist"/>
    <n v="185100"/>
    <s v="USD"/>
    <n v="185100"/>
    <s v="US"/>
    <n v="100"/>
    <s v="US"/>
    <s v="M"/>
    <x v="2"/>
  </r>
  <r>
    <n v="477"/>
    <n v="2022"/>
    <x v="1"/>
    <s v="SE"/>
    <x v="0"/>
    <x v="0"/>
    <s v="Machine Learning Engineer"/>
    <n v="220000"/>
    <s v="USD"/>
    <n v="220000"/>
    <s v="US"/>
    <n v="100"/>
    <s v="US"/>
    <s v="M"/>
    <x v="2"/>
  </r>
  <r>
    <n v="478"/>
    <n v="2022"/>
    <x v="0"/>
    <s v="MI"/>
    <x v="0"/>
    <x v="0"/>
    <s v="Data Scientist"/>
    <n v="200000"/>
    <s v="USD"/>
    <n v="200000"/>
    <s v="US"/>
    <n v="100"/>
    <s v="US"/>
    <s v="M"/>
    <x v="2"/>
  </r>
  <r>
    <n v="479"/>
    <n v="2022"/>
    <x v="0"/>
    <s v="MI"/>
    <x v="0"/>
    <x v="0"/>
    <s v="Data Scientist"/>
    <n v="120000"/>
    <s v="USD"/>
    <n v="120000"/>
    <s v="US"/>
    <n v="100"/>
    <s v="US"/>
    <s v="M"/>
    <x v="2"/>
  </r>
  <r>
    <n v="480"/>
    <n v="2022"/>
    <x v="1"/>
    <s v="SE"/>
    <x v="0"/>
    <x v="0"/>
    <s v="Machine Learning Engineer"/>
    <n v="120000"/>
    <s v="USD"/>
    <n v="120000"/>
    <s v="AE"/>
    <n v="100"/>
    <s v="AE"/>
    <s v="S"/>
    <x v="1"/>
  </r>
  <r>
    <n v="481"/>
    <n v="2022"/>
    <x v="1"/>
    <s v="SE"/>
    <x v="0"/>
    <x v="0"/>
    <s v="Machine Learning Engineer"/>
    <n v="65000"/>
    <s v="USD"/>
    <n v="65000"/>
    <s v="AE"/>
    <n v="100"/>
    <s v="AE"/>
    <s v="S"/>
    <x v="1"/>
  </r>
  <r>
    <n v="482"/>
    <n v="2022"/>
    <x v="3"/>
    <s v="EX"/>
    <x v="0"/>
    <x v="0"/>
    <s v="Data Engineer"/>
    <n v="324000"/>
    <s v="USD"/>
    <n v="324000"/>
    <s v="US"/>
    <n v="100"/>
    <s v="US"/>
    <s v="M"/>
    <x v="2"/>
  </r>
  <r>
    <n v="483"/>
    <n v="2022"/>
    <x v="3"/>
    <s v="EX"/>
    <x v="0"/>
    <x v="0"/>
    <s v="Data Engineer"/>
    <n v="216000"/>
    <s v="USD"/>
    <n v="216000"/>
    <s v="US"/>
    <n v="100"/>
    <s v="US"/>
    <s v="M"/>
    <x v="2"/>
  </r>
  <r>
    <n v="484"/>
    <n v="2022"/>
    <x v="1"/>
    <s v="SE"/>
    <x v="0"/>
    <x v="0"/>
    <s v="Data Engineer"/>
    <n v="210000"/>
    <s v="USD"/>
    <n v="210000"/>
    <s v="US"/>
    <n v="100"/>
    <s v="US"/>
    <s v="M"/>
    <x v="2"/>
  </r>
  <r>
    <n v="485"/>
    <n v="2022"/>
    <x v="1"/>
    <s v="SE"/>
    <x v="0"/>
    <x v="0"/>
    <s v="Machine Learning Engineer"/>
    <n v="120000"/>
    <s v="USD"/>
    <n v="120000"/>
    <s v="US"/>
    <n v="100"/>
    <s v="US"/>
    <s v="M"/>
    <x v="2"/>
  </r>
  <r>
    <n v="486"/>
    <n v="2022"/>
    <x v="1"/>
    <s v="SE"/>
    <x v="0"/>
    <x v="0"/>
    <s v="Data Scientist"/>
    <n v="230000"/>
    <s v="USD"/>
    <n v="230000"/>
    <s v="US"/>
    <n v="100"/>
    <s v="US"/>
    <s v="M"/>
    <x v="2"/>
  </r>
  <r>
    <n v="487"/>
    <n v="2022"/>
    <x v="2"/>
    <s v="EN"/>
    <x v="2"/>
    <x v="2"/>
    <s v="Data Scientist"/>
    <n v="100000"/>
    <s v="USD"/>
    <n v="100000"/>
    <s v="DZ"/>
    <n v="50"/>
    <s v="DZ"/>
    <s v="M"/>
    <x v="2"/>
  </r>
  <r>
    <n v="488"/>
    <n v="2022"/>
    <x v="0"/>
    <s v="MI"/>
    <x v="3"/>
    <x v="3"/>
    <s v="Data Scientist"/>
    <n v="100000"/>
    <s v="USD"/>
    <n v="100000"/>
    <s v="CA"/>
    <n v="100"/>
    <s v="US"/>
    <s v="M"/>
    <x v="2"/>
  </r>
  <r>
    <n v="489"/>
    <n v="2022"/>
    <x v="2"/>
    <s v="EN"/>
    <x v="1"/>
    <x v="1"/>
    <s v="Applied Machine Learning Scientist"/>
    <n v="29000"/>
    <s v="EUR"/>
    <n v="31875"/>
    <s v="TN"/>
    <n v="100"/>
    <s v="CZ"/>
    <s v="M"/>
    <x v="2"/>
  </r>
  <r>
    <n v="490"/>
    <n v="2022"/>
    <x v="1"/>
    <s v="SE"/>
    <x v="0"/>
    <x v="0"/>
    <s v="Head of Data"/>
    <n v="200000"/>
    <s v="USD"/>
    <n v="200000"/>
    <s v="MY"/>
    <n v="100"/>
    <s v="US"/>
    <s v="M"/>
    <x v="2"/>
  </r>
  <r>
    <n v="491"/>
    <n v="2022"/>
    <x v="0"/>
    <s v="MI"/>
    <x v="0"/>
    <x v="0"/>
    <s v="Principal Data Analyst"/>
    <n v="75000"/>
    <s v="USD"/>
    <n v="75000"/>
    <s v="CA"/>
    <n v="100"/>
    <s v="CA"/>
    <s v="S"/>
    <x v="1"/>
  </r>
  <r>
    <n v="492"/>
    <n v="2022"/>
    <x v="0"/>
    <s v="MI"/>
    <x v="0"/>
    <x v="0"/>
    <s v="Data Scientist"/>
    <n v="150000"/>
    <s v="PLN"/>
    <n v="35590"/>
    <s v="PL"/>
    <n v="100"/>
    <s v="PL"/>
    <s v="L"/>
    <x v="0"/>
  </r>
  <r>
    <n v="493"/>
    <n v="2022"/>
    <x v="1"/>
    <s v="SE"/>
    <x v="0"/>
    <x v="0"/>
    <s v="Machine Learning Developer"/>
    <n v="100000"/>
    <s v="CAD"/>
    <n v="78791"/>
    <s v="CA"/>
    <n v="100"/>
    <s v="CA"/>
    <s v="M"/>
    <x v="2"/>
  </r>
  <r>
    <n v="494"/>
    <n v="2022"/>
    <x v="1"/>
    <s v="SE"/>
    <x v="0"/>
    <x v="0"/>
    <s v="Data Scientist"/>
    <n v="100000"/>
    <s v="USD"/>
    <n v="100000"/>
    <s v="BR"/>
    <n v="100"/>
    <s v="US"/>
    <s v="M"/>
    <x v="2"/>
  </r>
  <r>
    <n v="495"/>
    <n v="2022"/>
    <x v="0"/>
    <s v="MI"/>
    <x v="0"/>
    <x v="0"/>
    <s v="Machine Learning Scientist"/>
    <n v="153000"/>
    <s v="USD"/>
    <n v="153000"/>
    <s v="US"/>
    <n v="50"/>
    <s v="US"/>
    <s v="M"/>
    <x v="2"/>
  </r>
  <r>
    <n v="496"/>
    <n v="2022"/>
    <x v="2"/>
    <s v="EN"/>
    <x v="0"/>
    <x v="0"/>
    <s v="Data Engineer"/>
    <n v="52800"/>
    <s v="EUR"/>
    <n v="58035"/>
    <s v="PK"/>
    <n v="100"/>
    <s v="DE"/>
    <s v="M"/>
    <x v="2"/>
  </r>
  <r>
    <n v="497"/>
    <n v="2022"/>
    <x v="1"/>
    <s v="SE"/>
    <x v="0"/>
    <x v="0"/>
    <s v="Data Scientist"/>
    <n v="165000"/>
    <s v="USD"/>
    <n v="165000"/>
    <s v="US"/>
    <n v="100"/>
    <s v="US"/>
    <s v="M"/>
    <x v="2"/>
  </r>
  <r>
    <n v="498"/>
    <n v="2022"/>
    <x v="1"/>
    <s v="SE"/>
    <x v="0"/>
    <x v="0"/>
    <s v="Research Scientist"/>
    <n v="85000"/>
    <s v="EUR"/>
    <n v="93427"/>
    <s v="FR"/>
    <n v="50"/>
    <s v="FR"/>
    <s v="L"/>
    <x v="0"/>
  </r>
  <r>
    <n v="499"/>
    <n v="2022"/>
    <x v="2"/>
    <s v="EN"/>
    <x v="0"/>
    <x v="0"/>
    <s v="Data Scientist"/>
    <n v="66500"/>
    <s v="CAD"/>
    <n v="52396"/>
    <s v="CA"/>
    <n v="100"/>
    <s v="CA"/>
    <s v="L"/>
    <x v="0"/>
  </r>
  <r>
    <n v="500"/>
    <n v="2022"/>
    <x v="1"/>
    <s v="SE"/>
    <x v="0"/>
    <x v="0"/>
    <s v="Machine Learning Engineer"/>
    <n v="57000"/>
    <s v="EUR"/>
    <n v="62651"/>
    <s v="NL"/>
    <n v="100"/>
    <s v="NL"/>
    <s v="L"/>
    <x v="0"/>
  </r>
  <r>
    <n v="501"/>
    <n v="2022"/>
    <x v="0"/>
    <s v="MI"/>
    <x v="0"/>
    <x v="0"/>
    <s v="Head of Data"/>
    <n v="30000"/>
    <s v="EUR"/>
    <n v="32974"/>
    <s v="EE"/>
    <n v="100"/>
    <s v="EE"/>
    <s v="S"/>
    <x v="1"/>
  </r>
  <r>
    <n v="502"/>
    <n v="2022"/>
    <x v="2"/>
    <s v="EN"/>
    <x v="0"/>
    <x v="0"/>
    <s v="Data Scientist"/>
    <n v="40000"/>
    <s v="USD"/>
    <n v="40000"/>
    <s v="JP"/>
    <n v="100"/>
    <s v="MY"/>
    <s v="L"/>
    <x v="0"/>
  </r>
  <r>
    <n v="503"/>
    <n v="2022"/>
    <x v="0"/>
    <s v="MI"/>
    <x v="0"/>
    <x v="0"/>
    <s v="Machine Learning Engineer"/>
    <n v="121000"/>
    <s v="AUD"/>
    <n v="87425"/>
    <s v="AU"/>
    <n v="100"/>
    <s v="AU"/>
    <s v="L"/>
    <x v="0"/>
  </r>
  <r>
    <n v="504"/>
    <n v="2022"/>
    <x v="1"/>
    <s v="SE"/>
    <x v="0"/>
    <x v="0"/>
    <s v="Data Engineer"/>
    <n v="115000"/>
    <s v="USD"/>
    <n v="115000"/>
    <s v="US"/>
    <n v="100"/>
    <s v="US"/>
    <s v="M"/>
    <x v="2"/>
  </r>
  <r>
    <n v="505"/>
    <n v="2022"/>
    <x v="2"/>
    <s v="EN"/>
    <x v="0"/>
    <x v="0"/>
    <s v="Data Scientist"/>
    <n v="120000"/>
    <s v="AUD"/>
    <n v="86703"/>
    <s v="AU"/>
    <n v="50"/>
    <s v="AU"/>
    <s v="M"/>
    <x v="2"/>
  </r>
  <r>
    <n v="506"/>
    <n v="2022"/>
    <x v="0"/>
    <s v="MI"/>
    <x v="0"/>
    <x v="0"/>
    <s v="Applied Machine Learning Scientist"/>
    <n v="75000"/>
    <s v="USD"/>
    <n v="75000"/>
    <s v="BO"/>
    <n v="100"/>
    <s v="US"/>
    <s v="L"/>
    <x v="0"/>
  </r>
  <r>
    <n v="507"/>
    <n v="2022"/>
    <x v="0"/>
    <s v="MI"/>
    <x v="0"/>
    <x v="0"/>
    <s v="Research Scientist"/>
    <n v="59000"/>
    <s v="EUR"/>
    <n v="64849"/>
    <s v="AT"/>
    <n v="0"/>
    <s v="AT"/>
    <s v="L"/>
    <x v="0"/>
  </r>
  <r>
    <n v="508"/>
    <n v="2022"/>
    <x v="2"/>
    <s v="EN"/>
    <x v="0"/>
    <x v="0"/>
    <s v="Research Scientist"/>
    <n v="120000"/>
    <s v="USD"/>
    <n v="120000"/>
    <s v="US"/>
    <n v="100"/>
    <s v="US"/>
    <s v="L"/>
    <x v="0"/>
  </r>
  <r>
    <n v="509"/>
    <n v="2022"/>
    <x v="0"/>
    <s v="MI"/>
    <x v="0"/>
    <x v="0"/>
    <s v="Applied Data Scientist"/>
    <n v="157000"/>
    <s v="USD"/>
    <n v="157000"/>
    <s v="US"/>
    <n v="100"/>
    <s v="US"/>
    <s v="L"/>
    <x v="0"/>
  </r>
  <r>
    <n v="510"/>
    <n v="2022"/>
    <x v="2"/>
    <s v="EN"/>
    <x v="0"/>
    <x v="0"/>
    <s v="Computer Vision Software Engineer"/>
    <n v="150000"/>
    <s v="USD"/>
    <n v="150000"/>
    <s v="AU"/>
    <n v="100"/>
    <s v="AU"/>
    <s v="S"/>
    <x v="1"/>
  </r>
  <r>
    <n v="511"/>
    <n v="2022"/>
    <x v="0"/>
    <s v="MI"/>
    <x v="0"/>
    <x v="0"/>
    <s v="Business Data Analyst"/>
    <n v="90000"/>
    <s v="CAD"/>
    <n v="70912"/>
    <s v="CA"/>
    <n v="50"/>
    <s v="CA"/>
    <s v="L"/>
    <x v="0"/>
  </r>
  <r>
    <n v="512"/>
    <n v="2022"/>
    <x v="2"/>
    <s v="EN"/>
    <x v="0"/>
    <x v="0"/>
    <s v="Data Engineer"/>
    <n v="65000"/>
    <s v="USD"/>
    <n v="65000"/>
    <s v="US"/>
    <n v="100"/>
    <s v="US"/>
    <s v="S"/>
    <x v="1"/>
  </r>
  <r>
    <n v="513"/>
    <n v="2022"/>
    <x v="1"/>
    <s v="SE"/>
    <x v="0"/>
    <x v="0"/>
    <s v="Machine Learning Engineer"/>
    <n v="65000"/>
    <s v="EUR"/>
    <n v="71444"/>
    <s v="IE"/>
    <n v="100"/>
    <s v="IE"/>
    <s v="S"/>
    <x v="1"/>
  </r>
  <r>
    <n v="514"/>
    <n v="2022"/>
    <x v="2"/>
    <s v="EN"/>
    <x v="0"/>
    <x v="0"/>
    <s v="Data Analytics Engineer"/>
    <n v="20000"/>
    <s v="USD"/>
    <n v="20000"/>
    <s v="PK"/>
    <n v="0"/>
    <s v="PK"/>
    <s v="M"/>
    <x v="2"/>
  </r>
  <r>
    <n v="515"/>
    <n v="2022"/>
    <x v="0"/>
    <s v="MI"/>
    <x v="0"/>
    <x v="0"/>
    <s v="Data Scientist"/>
    <n v="48000"/>
    <s v="USD"/>
    <n v="48000"/>
    <s v="RU"/>
    <n v="100"/>
    <s v="US"/>
    <s v="S"/>
    <x v="1"/>
  </r>
  <r>
    <n v="516"/>
    <n v="2022"/>
    <x v="1"/>
    <s v="SE"/>
    <x v="0"/>
    <x v="0"/>
    <s v="Data Science Manager"/>
    <n v="152500"/>
    <s v="USD"/>
    <n v="152500"/>
    <s v="US"/>
    <n v="100"/>
    <s v="US"/>
    <s v="M"/>
    <x v="2"/>
  </r>
  <r>
    <n v="517"/>
    <n v="2022"/>
    <x v="0"/>
    <s v="MI"/>
    <x v="0"/>
    <x v="0"/>
    <s v="Data Engineer"/>
    <n v="62000"/>
    <s v="EUR"/>
    <n v="68147"/>
    <s v="FR"/>
    <n v="100"/>
    <s v="FR"/>
    <s v="M"/>
    <x v="2"/>
  </r>
  <r>
    <n v="518"/>
    <n v="2022"/>
    <x v="0"/>
    <s v="MI"/>
    <x v="0"/>
    <x v="0"/>
    <s v="Data Scientist"/>
    <n v="115000"/>
    <s v="CHF"/>
    <n v="122346"/>
    <s v="CH"/>
    <n v="0"/>
    <s v="CH"/>
    <s v="L"/>
    <x v="0"/>
  </r>
  <r>
    <n v="519"/>
    <n v="2022"/>
    <x v="1"/>
    <s v="SE"/>
    <x v="0"/>
    <x v="0"/>
    <s v="Applied Data Scientist"/>
    <n v="380000"/>
    <s v="USD"/>
    <n v="380000"/>
    <s v="US"/>
    <n v="100"/>
    <s v="US"/>
    <s v="L"/>
    <x v="0"/>
  </r>
  <r>
    <n v="520"/>
    <n v="2022"/>
    <x v="0"/>
    <s v="MI"/>
    <x v="0"/>
    <x v="0"/>
    <s v="Data Scientist"/>
    <n v="88000"/>
    <s v="CAD"/>
    <n v="69336"/>
    <s v="CA"/>
    <n v="100"/>
    <s v="CA"/>
    <s v="M"/>
    <x v="2"/>
  </r>
  <r>
    <n v="521"/>
    <n v="2022"/>
    <x v="2"/>
    <s v="EN"/>
    <x v="0"/>
    <x v="0"/>
    <s v="Computer Vision Engineer"/>
    <n v="10000"/>
    <s v="USD"/>
    <n v="10000"/>
    <s v="PT"/>
    <n v="100"/>
    <s v="LU"/>
    <s v="M"/>
    <x v="2"/>
  </r>
  <r>
    <n v="522"/>
    <n v="2022"/>
    <x v="0"/>
    <s v="MI"/>
    <x v="0"/>
    <x v="0"/>
    <s v="Data Analyst"/>
    <n v="20000"/>
    <s v="USD"/>
    <n v="20000"/>
    <s v="GR"/>
    <n v="100"/>
    <s v="GR"/>
    <s v="S"/>
    <x v="1"/>
  </r>
  <r>
    <n v="523"/>
    <n v="2022"/>
    <x v="1"/>
    <s v="SE"/>
    <x v="0"/>
    <x v="0"/>
    <s v="Data Analytics Lead"/>
    <n v="405000"/>
    <s v="USD"/>
    <n v="405000"/>
    <s v="US"/>
    <n v="100"/>
    <s v="US"/>
    <s v="L"/>
    <x v="0"/>
  </r>
  <r>
    <n v="524"/>
    <n v="2022"/>
    <x v="0"/>
    <s v="MI"/>
    <x v="0"/>
    <x v="0"/>
    <s v="Data Scientist"/>
    <n v="135000"/>
    <s v="USD"/>
    <n v="135000"/>
    <s v="US"/>
    <n v="100"/>
    <s v="US"/>
    <s v="L"/>
    <x v="0"/>
  </r>
  <r>
    <n v="525"/>
    <n v="2022"/>
    <x v="1"/>
    <s v="SE"/>
    <x v="0"/>
    <x v="0"/>
    <s v="Applied Data Scientist"/>
    <n v="177000"/>
    <s v="USD"/>
    <n v="177000"/>
    <s v="US"/>
    <n v="100"/>
    <s v="US"/>
    <s v="L"/>
    <x v="0"/>
  </r>
  <r>
    <n v="526"/>
    <n v="2022"/>
    <x v="0"/>
    <s v="MI"/>
    <x v="0"/>
    <x v="0"/>
    <s v="Data Scientist"/>
    <n v="78000"/>
    <s v="USD"/>
    <n v="78000"/>
    <s v="US"/>
    <n v="100"/>
    <s v="US"/>
    <s v="M"/>
    <x v="2"/>
  </r>
  <r>
    <n v="527"/>
    <n v="2022"/>
    <x v="1"/>
    <s v="SE"/>
    <x v="0"/>
    <x v="0"/>
    <s v="Data Analyst"/>
    <n v="135000"/>
    <s v="USD"/>
    <n v="135000"/>
    <s v="US"/>
    <n v="100"/>
    <s v="US"/>
    <s v="M"/>
    <x v="2"/>
  </r>
  <r>
    <n v="528"/>
    <n v="2022"/>
    <x v="1"/>
    <s v="SE"/>
    <x v="0"/>
    <x v="0"/>
    <s v="Data Analyst"/>
    <n v="100000"/>
    <s v="USD"/>
    <n v="100000"/>
    <s v="US"/>
    <n v="100"/>
    <s v="US"/>
    <s v="M"/>
    <x v="2"/>
  </r>
  <r>
    <n v="529"/>
    <n v="2022"/>
    <x v="1"/>
    <s v="SE"/>
    <x v="0"/>
    <x v="0"/>
    <s v="Data Analyst"/>
    <n v="90320"/>
    <s v="USD"/>
    <n v="90320"/>
    <s v="US"/>
    <n v="100"/>
    <s v="US"/>
    <s v="M"/>
    <x v="2"/>
  </r>
  <r>
    <n v="530"/>
    <n v="2022"/>
    <x v="0"/>
    <s v="MI"/>
    <x v="0"/>
    <x v="0"/>
    <s v="Data Analyst"/>
    <n v="85000"/>
    <s v="USD"/>
    <n v="85000"/>
    <s v="CA"/>
    <n v="0"/>
    <s v="CA"/>
    <s v="M"/>
    <x v="2"/>
  </r>
  <r>
    <n v="531"/>
    <n v="2022"/>
    <x v="0"/>
    <s v="MI"/>
    <x v="0"/>
    <x v="0"/>
    <s v="Data Analyst"/>
    <n v="75000"/>
    <s v="USD"/>
    <n v="75000"/>
    <s v="CA"/>
    <n v="0"/>
    <s v="CA"/>
    <s v="M"/>
    <x v="2"/>
  </r>
  <r>
    <n v="532"/>
    <n v="2022"/>
    <x v="1"/>
    <s v="SE"/>
    <x v="0"/>
    <x v="0"/>
    <s v="Machine Learning Engineer"/>
    <n v="214000"/>
    <s v="USD"/>
    <n v="214000"/>
    <s v="US"/>
    <n v="100"/>
    <s v="US"/>
    <s v="M"/>
    <x v="2"/>
  </r>
  <r>
    <n v="533"/>
    <n v="2022"/>
    <x v="1"/>
    <s v="SE"/>
    <x v="0"/>
    <x v="0"/>
    <s v="Machine Learning Engineer"/>
    <n v="192600"/>
    <s v="USD"/>
    <n v="192600"/>
    <s v="US"/>
    <n v="100"/>
    <s v="US"/>
    <s v="M"/>
    <x v="2"/>
  </r>
  <r>
    <n v="534"/>
    <n v="2022"/>
    <x v="1"/>
    <s v="SE"/>
    <x v="0"/>
    <x v="0"/>
    <s v="Data Architect"/>
    <n v="266400"/>
    <s v="USD"/>
    <n v="266400"/>
    <s v="US"/>
    <n v="100"/>
    <s v="US"/>
    <s v="M"/>
    <x v="2"/>
  </r>
  <r>
    <n v="535"/>
    <n v="2022"/>
    <x v="1"/>
    <s v="SE"/>
    <x v="0"/>
    <x v="0"/>
    <s v="Data Architect"/>
    <n v="213120"/>
    <s v="USD"/>
    <n v="213120"/>
    <s v="US"/>
    <n v="100"/>
    <s v="US"/>
    <s v="M"/>
    <x v="2"/>
  </r>
  <r>
    <n v="536"/>
    <n v="2022"/>
    <x v="1"/>
    <s v="SE"/>
    <x v="0"/>
    <x v="0"/>
    <s v="Data Analyst"/>
    <n v="112900"/>
    <s v="USD"/>
    <n v="112900"/>
    <s v="US"/>
    <n v="100"/>
    <s v="US"/>
    <s v="M"/>
    <x v="2"/>
  </r>
  <r>
    <n v="537"/>
    <n v="2022"/>
    <x v="1"/>
    <s v="SE"/>
    <x v="0"/>
    <x v="0"/>
    <s v="Data Engineer"/>
    <n v="155000"/>
    <s v="USD"/>
    <n v="155000"/>
    <s v="US"/>
    <n v="100"/>
    <s v="US"/>
    <s v="M"/>
    <x v="2"/>
  </r>
  <r>
    <n v="538"/>
    <n v="2022"/>
    <x v="0"/>
    <s v="MI"/>
    <x v="0"/>
    <x v="0"/>
    <s v="Data Scientist"/>
    <n v="141300"/>
    <s v="USD"/>
    <n v="141300"/>
    <s v="US"/>
    <n v="0"/>
    <s v="US"/>
    <s v="M"/>
    <x v="2"/>
  </r>
  <r>
    <n v="539"/>
    <n v="2022"/>
    <x v="0"/>
    <s v="MI"/>
    <x v="0"/>
    <x v="0"/>
    <s v="Data Scientist"/>
    <n v="102100"/>
    <s v="USD"/>
    <n v="102100"/>
    <s v="US"/>
    <n v="0"/>
    <s v="US"/>
    <s v="M"/>
    <x v="2"/>
  </r>
  <r>
    <n v="540"/>
    <n v="2022"/>
    <x v="1"/>
    <s v="SE"/>
    <x v="0"/>
    <x v="0"/>
    <s v="Data Analyst"/>
    <n v="115934"/>
    <s v="USD"/>
    <n v="115934"/>
    <s v="US"/>
    <n v="100"/>
    <s v="US"/>
    <s v="M"/>
    <x v="2"/>
  </r>
  <r>
    <n v="541"/>
    <n v="2022"/>
    <x v="1"/>
    <s v="SE"/>
    <x v="0"/>
    <x v="0"/>
    <s v="Data Analyst"/>
    <n v="81666"/>
    <s v="USD"/>
    <n v="81666"/>
    <s v="US"/>
    <n v="100"/>
    <s v="US"/>
    <s v="M"/>
    <x v="2"/>
  </r>
  <r>
    <n v="542"/>
    <n v="2022"/>
    <x v="0"/>
    <s v="MI"/>
    <x v="0"/>
    <x v="0"/>
    <s v="Data Engineer"/>
    <n v="206699"/>
    <s v="USD"/>
    <n v="206699"/>
    <s v="US"/>
    <n v="0"/>
    <s v="US"/>
    <s v="M"/>
    <x v="2"/>
  </r>
  <r>
    <n v="543"/>
    <n v="2022"/>
    <x v="0"/>
    <s v="MI"/>
    <x v="0"/>
    <x v="0"/>
    <s v="Data Engineer"/>
    <n v="99100"/>
    <s v="USD"/>
    <n v="99100"/>
    <s v="US"/>
    <n v="0"/>
    <s v="US"/>
    <s v="M"/>
    <x v="2"/>
  </r>
  <r>
    <n v="544"/>
    <n v="2022"/>
    <x v="1"/>
    <s v="SE"/>
    <x v="0"/>
    <x v="0"/>
    <s v="Data Engineer"/>
    <n v="130000"/>
    <s v="USD"/>
    <n v="130000"/>
    <s v="US"/>
    <n v="100"/>
    <s v="US"/>
    <s v="M"/>
    <x v="2"/>
  </r>
  <r>
    <n v="545"/>
    <n v="2022"/>
    <x v="1"/>
    <s v="SE"/>
    <x v="0"/>
    <x v="0"/>
    <s v="Data Engineer"/>
    <n v="115000"/>
    <s v="USD"/>
    <n v="115000"/>
    <s v="US"/>
    <n v="100"/>
    <s v="US"/>
    <s v="M"/>
    <x v="2"/>
  </r>
  <r>
    <n v="546"/>
    <n v="2022"/>
    <x v="1"/>
    <s v="SE"/>
    <x v="0"/>
    <x v="0"/>
    <s v="Data Engineer"/>
    <n v="110500"/>
    <s v="USD"/>
    <n v="110500"/>
    <s v="US"/>
    <n v="100"/>
    <s v="US"/>
    <s v="M"/>
    <x v="2"/>
  </r>
  <r>
    <n v="547"/>
    <n v="2022"/>
    <x v="1"/>
    <s v="SE"/>
    <x v="0"/>
    <x v="0"/>
    <s v="Data Engineer"/>
    <n v="130000"/>
    <s v="USD"/>
    <n v="130000"/>
    <s v="US"/>
    <n v="100"/>
    <s v="US"/>
    <s v="M"/>
    <x v="2"/>
  </r>
  <r>
    <n v="548"/>
    <n v="2022"/>
    <x v="1"/>
    <s v="SE"/>
    <x v="0"/>
    <x v="0"/>
    <s v="Data Analyst"/>
    <n v="99050"/>
    <s v="USD"/>
    <n v="99050"/>
    <s v="US"/>
    <n v="100"/>
    <s v="US"/>
    <s v="M"/>
    <x v="2"/>
  </r>
  <r>
    <n v="549"/>
    <n v="2022"/>
    <x v="1"/>
    <s v="SE"/>
    <x v="0"/>
    <x v="0"/>
    <s v="Data Engineer"/>
    <n v="160000"/>
    <s v="USD"/>
    <n v="160000"/>
    <s v="US"/>
    <n v="100"/>
    <s v="US"/>
    <s v="M"/>
    <x v="2"/>
  </r>
  <r>
    <n v="550"/>
    <n v="2022"/>
    <x v="1"/>
    <s v="SE"/>
    <x v="0"/>
    <x v="0"/>
    <s v="Data Scientist"/>
    <n v="205300"/>
    <s v="USD"/>
    <n v="205300"/>
    <s v="US"/>
    <n v="0"/>
    <s v="US"/>
    <s v="L"/>
    <x v="0"/>
  </r>
  <r>
    <n v="551"/>
    <n v="2022"/>
    <x v="1"/>
    <s v="SE"/>
    <x v="0"/>
    <x v="0"/>
    <s v="Data Scientist"/>
    <n v="140400"/>
    <s v="USD"/>
    <n v="140400"/>
    <s v="US"/>
    <n v="0"/>
    <s v="US"/>
    <s v="L"/>
    <x v="0"/>
  </r>
  <r>
    <n v="552"/>
    <n v="2022"/>
    <x v="1"/>
    <s v="SE"/>
    <x v="0"/>
    <x v="0"/>
    <s v="Data Scientist"/>
    <n v="176000"/>
    <s v="USD"/>
    <n v="176000"/>
    <s v="US"/>
    <n v="100"/>
    <s v="US"/>
    <s v="M"/>
    <x v="2"/>
  </r>
  <r>
    <n v="553"/>
    <n v="2022"/>
    <x v="1"/>
    <s v="SE"/>
    <x v="0"/>
    <x v="0"/>
    <s v="Data Scientist"/>
    <n v="144000"/>
    <s v="USD"/>
    <n v="144000"/>
    <s v="US"/>
    <n v="100"/>
    <s v="US"/>
    <s v="M"/>
    <x v="2"/>
  </r>
  <r>
    <n v="554"/>
    <n v="2022"/>
    <x v="1"/>
    <s v="SE"/>
    <x v="0"/>
    <x v="0"/>
    <s v="Data Engineer"/>
    <n v="200100"/>
    <s v="USD"/>
    <n v="200100"/>
    <s v="US"/>
    <n v="100"/>
    <s v="US"/>
    <s v="M"/>
    <x v="2"/>
  </r>
  <r>
    <n v="555"/>
    <n v="2022"/>
    <x v="1"/>
    <s v="SE"/>
    <x v="0"/>
    <x v="0"/>
    <s v="Data Engineer"/>
    <n v="160000"/>
    <s v="USD"/>
    <n v="160000"/>
    <s v="US"/>
    <n v="100"/>
    <s v="US"/>
    <s v="M"/>
    <x v="2"/>
  </r>
  <r>
    <n v="556"/>
    <n v="2022"/>
    <x v="1"/>
    <s v="SE"/>
    <x v="0"/>
    <x v="0"/>
    <s v="Data Engineer"/>
    <n v="145000"/>
    <s v="USD"/>
    <n v="145000"/>
    <s v="US"/>
    <n v="100"/>
    <s v="US"/>
    <s v="M"/>
    <x v="2"/>
  </r>
  <r>
    <n v="557"/>
    <n v="2022"/>
    <x v="1"/>
    <s v="SE"/>
    <x v="0"/>
    <x v="0"/>
    <s v="Data Engineer"/>
    <n v="70500"/>
    <s v="USD"/>
    <n v="70500"/>
    <s v="US"/>
    <n v="0"/>
    <s v="US"/>
    <s v="M"/>
    <x v="2"/>
  </r>
  <r>
    <n v="558"/>
    <n v="2022"/>
    <x v="1"/>
    <s v="SE"/>
    <x v="0"/>
    <x v="0"/>
    <s v="Data Scientist"/>
    <n v="205300"/>
    <s v="USD"/>
    <n v="205300"/>
    <s v="US"/>
    <n v="0"/>
    <s v="US"/>
    <s v="M"/>
    <x v="2"/>
  </r>
  <r>
    <n v="559"/>
    <n v="2022"/>
    <x v="1"/>
    <s v="SE"/>
    <x v="0"/>
    <x v="0"/>
    <s v="Data Scientist"/>
    <n v="140400"/>
    <s v="USD"/>
    <n v="140400"/>
    <s v="US"/>
    <n v="0"/>
    <s v="US"/>
    <s v="M"/>
    <x v="2"/>
  </r>
  <r>
    <n v="560"/>
    <n v="2022"/>
    <x v="1"/>
    <s v="SE"/>
    <x v="0"/>
    <x v="0"/>
    <s v="Analytics Engineer"/>
    <n v="205300"/>
    <s v="USD"/>
    <n v="205300"/>
    <s v="US"/>
    <n v="0"/>
    <s v="US"/>
    <s v="M"/>
    <x v="2"/>
  </r>
  <r>
    <n v="561"/>
    <n v="2022"/>
    <x v="1"/>
    <s v="SE"/>
    <x v="0"/>
    <x v="0"/>
    <s v="Analytics Engineer"/>
    <n v="184700"/>
    <s v="USD"/>
    <n v="184700"/>
    <s v="US"/>
    <n v="0"/>
    <s v="US"/>
    <s v="M"/>
    <x v="2"/>
  </r>
  <r>
    <n v="562"/>
    <n v="2022"/>
    <x v="1"/>
    <s v="SE"/>
    <x v="0"/>
    <x v="0"/>
    <s v="Data Engineer"/>
    <n v="175100"/>
    <s v="USD"/>
    <n v="175100"/>
    <s v="US"/>
    <n v="100"/>
    <s v="US"/>
    <s v="M"/>
    <x v="2"/>
  </r>
  <r>
    <n v="563"/>
    <n v="2022"/>
    <x v="1"/>
    <s v="SE"/>
    <x v="0"/>
    <x v="0"/>
    <s v="Data Engineer"/>
    <n v="140250"/>
    <s v="USD"/>
    <n v="140250"/>
    <s v="US"/>
    <n v="100"/>
    <s v="US"/>
    <s v="M"/>
    <x v="2"/>
  </r>
  <r>
    <n v="564"/>
    <n v="2022"/>
    <x v="1"/>
    <s v="SE"/>
    <x v="0"/>
    <x v="0"/>
    <s v="Data Analyst"/>
    <n v="116150"/>
    <s v="USD"/>
    <n v="116150"/>
    <s v="US"/>
    <n v="100"/>
    <s v="US"/>
    <s v="M"/>
    <x v="2"/>
  </r>
  <r>
    <n v="565"/>
    <n v="2022"/>
    <x v="1"/>
    <s v="SE"/>
    <x v="0"/>
    <x v="0"/>
    <s v="Data Engineer"/>
    <n v="54000"/>
    <s v="USD"/>
    <n v="54000"/>
    <s v="US"/>
    <n v="0"/>
    <s v="US"/>
    <s v="M"/>
    <x v="2"/>
  </r>
  <r>
    <n v="566"/>
    <n v="2022"/>
    <x v="1"/>
    <s v="SE"/>
    <x v="0"/>
    <x v="0"/>
    <s v="Data Analyst"/>
    <n v="170000"/>
    <s v="USD"/>
    <n v="170000"/>
    <s v="US"/>
    <n v="100"/>
    <s v="US"/>
    <s v="M"/>
    <x v="2"/>
  </r>
  <r>
    <n v="567"/>
    <n v="2022"/>
    <x v="0"/>
    <s v="MI"/>
    <x v="0"/>
    <x v="0"/>
    <s v="Data Analyst"/>
    <n v="50000"/>
    <s v="GBP"/>
    <n v="65438"/>
    <s v="GB"/>
    <n v="0"/>
    <s v="GB"/>
    <s v="M"/>
    <x v="2"/>
  </r>
  <r>
    <n v="568"/>
    <n v="2022"/>
    <x v="1"/>
    <s v="SE"/>
    <x v="0"/>
    <x v="0"/>
    <s v="Data Analyst"/>
    <n v="80000"/>
    <s v="USD"/>
    <n v="80000"/>
    <s v="US"/>
    <n v="100"/>
    <s v="US"/>
    <s v="M"/>
    <x v="2"/>
  </r>
  <r>
    <n v="569"/>
    <n v="2022"/>
    <x v="1"/>
    <s v="SE"/>
    <x v="0"/>
    <x v="0"/>
    <s v="Data Scientist"/>
    <n v="140000"/>
    <s v="USD"/>
    <n v="140000"/>
    <s v="US"/>
    <n v="100"/>
    <s v="US"/>
    <s v="M"/>
    <x v="2"/>
  </r>
  <r>
    <n v="570"/>
    <n v="2022"/>
    <x v="1"/>
    <s v="SE"/>
    <x v="0"/>
    <x v="0"/>
    <s v="Data Scientist"/>
    <n v="210000"/>
    <s v="USD"/>
    <n v="210000"/>
    <s v="US"/>
    <n v="100"/>
    <s v="US"/>
    <s v="M"/>
    <x v="2"/>
  </r>
  <r>
    <n v="571"/>
    <n v="2022"/>
    <x v="1"/>
    <s v="SE"/>
    <x v="0"/>
    <x v="0"/>
    <s v="Data Scientist"/>
    <n v="140000"/>
    <s v="USD"/>
    <n v="140000"/>
    <s v="US"/>
    <n v="100"/>
    <s v="US"/>
    <s v="M"/>
    <x v="2"/>
  </r>
  <r>
    <n v="572"/>
    <n v="2022"/>
    <x v="1"/>
    <s v="SE"/>
    <x v="0"/>
    <x v="0"/>
    <s v="Data Analyst"/>
    <n v="100000"/>
    <s v="USD"/>
    <n v="100000"/>
    <s v="US"/>
    <n v="100"/>
    <s v="US"/>
    <s v="M"/>
    <x v="2"/>
  </r>
  <r>
    <n v="573"/>
    <n v="2022"/>
    <x v="1"/>
    <s v="SE"/>
    <x v="0"/>
    <x v="0"/>
    <s v="Data Analyst"/>
    <n v="69000"/>
    <s v="USD"/>
    <n v="69000"/>
    <s v="US"/>
    <n v="100"/>
    <s v="US"/>
    <s v="M"/>
    <x v="2"/>
  </r>
  <r>
    <n v="574"/>
    <n v="2022"/>
    <x v="1"/>
    <s v="SE"/>
    <x v="0"/>
    <x v="0"/>
    <s v="Data Scientist"/>
    <n v="210000"/>
    <s v="USD"/>
    <n v="210000"/>
    <s v="US"/>
    <n v="100"/>
    <s v="US"/>
    <s v="M"/>
    <x v="2"/>
  </r>
  <r>
    <n v="575"/>
    <n v="2022"/>
    <x v="1"/>
    <s v="SE"/>
    <x v="0"/>
    <x v="0"/>
    <s v="Data Scientist"/>
    <n v="140000"/>
    <s v="USD"/>
    <n v="140000"/>
    <s v="US"/>
    <n v="100"/>
    <s v="US"/>
    <s v="M"/>
    <x v="2"/>
  </r>
  <r>
    <n v="576"/>
    <n v="2022"/>
    <x v="1"/>
    <s v="SE"/>
    <x v="0"/>
    <x v="0"/>
    <s v="Data Scientist"/>
    <n v="210000"/>
    <s v="USD"/>
    <n v="210000"/>
    <s v="US"/>
    <n v="100"/>
    <s v="US"/>
    <s v="M"/>
    <x v="2"/>
  </r>
  <r>
    <n v="577"/>
    <n v="2022"/>
    <x v="1"/>
    <s v="SE"/>
    <x v="0"/>
    <x v="0"/>
    <s v="Data Analyst"/>
    <n v="150075"/>
    <s v="USD"/>
    <n v="150075"/>
    <s v="US"/>
    <n v="100"/>
    <s v="US"/>
    <s v="M"/>
    <x v="2"/>
  </r>
  <r>
    <n v="578"/>
    <n v="2022"/>
    <x v="1"/>
    <s v="SE"/>
    <x v="0"/>
    <x v="0"/>
    <s v="Data Engineer"/>
    <n v="100000"/>
    <s v="USD"/>
    <n v="100000"/>
    <s v="US"/>
    <n v="100"/>
    <s v="US"/>
    <s v="M"/>
    <x v="2"/>
  </r>
  <r>
    <n v="579"/>
    <n v="2022"/>
    <x v="1"/>
    <s v="SE"/>
    <x v="0"/>
    <x v="0"/>
    <s v="Data Engineer"/>
    <n v="25000"/>
    <s v="USD"/>
    <n v="25000"/>
    <s v="US"/>
    <n v="100"/>
    <s v="US"/>
    <s v="M"/>
    <x v="2"/>
  </r>
  <r>
    <n v="580"/>
    <n v="2022"/>
    <x v="1"/>
    <s v="SE"/>
    <x v="0"/>
    <x v="0"/>
    <s v="Data Analyst"/>
    <n v="126500"/>
    <s v="USD"/>
    <n v="126500"/>
    <s v="US"/>
    <n v="100"/>
    <s v="US"/>
    <s v="M"/>
    <x v="2"/>
  </r>
  <r>
    <n v="581"/>
    <n v="2022"/>
    <x v="1"/>
    <s v="SE"/>
    <x v="0"/>
    <x v="0"/>
    <s v="Data Analyst"/>
    <n v="106260"/>
    <s v="USD"/>
    <n v="106260"/>
    <s v="US"/>
    <n v="100"/>
    <s v="US"/>
    <s v="M"/>
    <x v="2"/>
  </r>
  <r>
    <n v="582"/>
    <n v="2022"/>
    <x v="1"/>
    <s v="SE"/>
    <x v="0"/>
    <x v="0"/>
    <s v="Data Engineer"/>
    <n v="220110"/>
    <s v="USD"/>
    <n v="220110"/>
    <s v="US"/>
    <n v="100"/>
    <s v="US"/>
    <s v="M"/>
    <x v="2"/>
  </r>
  <r>
    <n v="583"/>
    <n v="2022"/>
    <x v="1"/>
    <s v="SE"/>
    <x v="0"/>
    <x v="0"/>
    <s v="Data Engineer"/>
    <n v="160080"/>
    <s v="USD"/>
    <n v="160080"/>
    <s v="US"/>
    <n v="100"/>
    <s v="US"/>
    <s v="M"/>
    <x v="2"/>
  </r>
  <r>
    <n v="584"/>
    <n v="2022"/>
    <x v="1"/>
    <s v="SE"/>
    <x v="0"/>
    <x v="0"/>
    <s v="Data Analyst"/>
    <n v="105000"/>
    <s v="USD"/>
    <n v="105000"/>
    <s v="US"/>
    <n v="100"/>
    <s v="US"/>
    <s v="M"/>
    <x v="2"/>
  </r>
  <r>
    <n v="585"/>
    <n v="2022"/>
    <x v="1"/>
    <s v="SE"/>
    <x v="0"/>
    <x v="0"/>
    <s v="Data Analyst"/>
    <n v="110925"/>
    <s v="USD"/>
    <n v="110925"/>
    <s v="US"/>
    <n v="100"/>
    <s v="US"/>
    <s v="M"/>
    <x v="2"/>
  </r>
  <r>
    <n v="586"/>
    <n v="2022"/>
    <x v="0"/>
    <s v="MI"/>
    <x v="0"/>
    <x v="0"/>
    <s v="Data Analyst"/>
    <n v="35000"/>
    <s v="GBP"/>
    <n v="45807"/>
    <s v="GB"/>
    <n v="0"/>
    <s v="GB"/>
    <s v="M"/>
    <x v="2"/>
  </r>
  <r>
    <n v="587"/>
    <n v="2022"/>
    <x v="1"/>
    <s v="SE"/>
    <x v="0"/>
    <x v="0"/>
    <s v="Data Scientist"/>
    <n v="140000"/>
    <s v="USD"/>
    <n v="140000"/>
    <s v="US"/>
    <n v="100"/>
    <s v="US"/>
    <s v="M"/>
    <x v="2"/>
  </r>
  <r>
    <n v="588"/>
    <n v="2022"/>
    <x v="1"/>
    <s v="SE"/>
    <x v="0"/>
    <x v="0"/>
    <s v="Data Analyst"/>
    <n v="99000"/>
    <s v="USD"/>
    <n v="99000"/>
    <s v="US"/>
    <n v="0"/>
    <s v="US"/>
    <s v="M"/>
    <x v="2"/>
  </r>
  <r>
    <n v="589"/>
    <n v="2022"/>
    <x v="1"/>
    <s v="SE"/>
    <x v="0"/>
    <x v="0"/>
    <s v="Data Analyst"/>
    <n v="60000"/>
    <s v="USD"/>
    <n v="60000"/>
    <s v="US"/>
    <n v="100"/>
    <s v="US"/>
    <s v="M"/>
    <x v="2"/>
  </r>
  <r>
    <n v="590"/>
    <n v="2022"/>
    <x v="1"/>
    <s v="SE"/>
    <x v="0"/>
    <x v="0"/>
    <s v="Data Architect"/>
    <n v="192564"/>
    <s v="USD"/>
    <n v="192564"/>
    <s v="US"/>
    <n v="100"/>
    <s v="US"/>
    <s v="M"/>
    <x v="2"/>
  </r>
  <r>
    <n v="591"/>
    <n v="2022"/>
    <x v="1"/>
    <s v="SE"/>
    <x v="0"/>
    <x v="0"/>
    <s v="Data Architect"/>
    <n v="144854"/>
    <s v="USD"/>
    <n v="144854"/>
    <s v="US"/>
    <n v="100"/>
    <s v="US"/>
    <s v="M"/>
    <x v="2"/>
  </r>
  <r>
    <n v="592"/>
    <n v="2022"/>
    <x v="1"/>
    <s v="SE"/>
    <x v="0"/>
    <x v="0"/>
    <s v="Data Scientist"/>
    <n v="230000"/>
    <s v="USD"/>
    <n v="230000"/>
    <s v="US"/>
    <n v="100"/>
    <s v="US"/>
    <s v="M"/>
    <x v="2"/>
  </r>
  <r>
    <n v="593"/>
    <n v="2022"/>
    <x v="1"/>
    <s v="SE"/>
    <x v="0"/>
    <x v="0"/>
    <s v="Data Scientist"/>
    <n v="150000"/>
    <s v="USD"/>
    <n v="150000"/>
    <s v="US"/>
    <n v="100"/>
    <s v="US"/>
    <s v="M"/>
    <x v="2"/>
  </r>
  <r>
    <n v="594"/>
    <n v="2022"/>
    <x v="1"/>
    <s v="SE"/>
    <x v="0"/>
    <x v="0"/>
    <s v="Data Analytics Manager"/>
    <n v="150260"/>
    <s v="USD"/>
    <n v="150260"/>
    <s v="US"/>
    <n v="100"/>
    <s v="US"/>
    <s v="M"/>
    <x v="2"/>
  </r>
  <r>
    <n v="595"/>
    <n v="2022"/>
    <x v="1"/>
    <s v="SE"/>
    <x v="0"/>
    <x v="0"/>
    <s v="Data Analytics Manager"/>
    <n v="109280"/>
    <s v="USD"/>
    <n v="109280"/>
    <s v="US"/>
    <n v="100"/>
    <s v="US"/>
    <s v="M"/>
    <x v="2"/>
  </r>
  <r>
    <n v="596"/>
    <n v="2022"/>
    <x v="1"/>
    <s v="SE"/>
    <x v="0"/>
    <x v="0"/>
    <s v="Data Scientist"/>
    <n v="210000"/>
    <s v="USD"/>
    <n v="210000"/>
    <s v="US"/>
    <n v="100"/>
    <s v="US"/>
    <s v="M"/>
    <x v="2"/>
  </r>
  <r>
    <n v="597"/>
    <n v="2022"/>
    <x v="1"/>
    <s v="SE"/>
    <x v="0"/>
    <x v="0"/>
    <s v="Data Analyst"/>
    <n v="170000"/>
    <s v="USD"/>
    <n v="170000"/>
    <s v="US"/>
    <n v="100"/>
    <s v="US"/>
    <s v="M"/>
    <x v="2"/>
  </r>
  <r>
    <n v="598"/>
    <n v="2022"/>
    <x v="0"/>
    <s v="MI"/>
    <x v="0"/>
    <x v="0"/>
    <s v="Data Scientist"/>
    <n v="160000"/>
    <s v="USD"/>
    <n v="160000"/>
    <s v="US"/>
    <n v="100"/>
    <s v="US"/>
    <s v="M"/>
    <x v="2"/>
  </r>
  <r>
    <n v="599"/>
    <n v="2022"/>
    <x v="0"/>
    <s v="MI"/>
    <x v="0"/>
    <x v="0"/>
    <s v="Data Scientist"/>
    <n v="130000"/>
    <s v="USD"/>
    <n v="130000"/>
    <s v="US"/>
    <n v="100"/>
    <s v="US"/>
    <s v="M"/>
    <x v="2"/>
  </r>
  <r>
    <n v="600"/>
    <n v="2022"/>
    <x v="2"/>
    <s v="EN"/>
    <x v="0"/>
    <x v="0"/>
    <s v="Data Analyst"/>
    <n v="67000"/>
    <s v="USD"/>
    <n v="67000"/>
    <s v="CA"/>
    <n v="0"/>
    <s v="CA"/>
    <s v="M"/>
    <x v="2"/>
  </r>
  <r>
    <n v="601"/>
    <n v="2022"/>
    <x v="2"/>
    <s v="EN"/>
    <x v="0"/>
    <x v="0"/>
    <s v="Data Analyst"/>
    <n v="52000"/>
    <s v="USD"/>
    <n v="52000"/>
    <s v="CA"/>
    <n v="0"/>
    <s v="CA"/>
    <s v="M"/>
    <x v="2"/>
  </r>
  <r>
    <n v="602"/>
    <n v="2022"/>
    <x v="1"/>
    <s v="SE"/>
    <x v="0"/>
    <x v="0"/>
    <s v="Data Engineer"/>
    <n v="154000"/>
    <s v="USD"/>
    <n v="154000"/>
    <s v="US"/>
    <n v="100"/>
    <s v="US"/>
    <s v="M"/>
    <x v="2"/>
  </r>
  <r>
    <n v="603"/>
    <n v="2022"/>
    <x v="1"/>
    <s v="SE"/>
    <x v="0"/>
    <x v="0"/>
    <s v="Data Engineer"/>
    <n v="126000"/>
    <s v="USD"/>
    <n v="126000"/>
    <s v="US"/>
    <n v="100"/>
    <s v="US"/>
    <s v="M"/>
    <x v="2"/>
  </r>
  <r>
    <n v="604"/>
    <n v="2022"/>
    <x v="1"/>
    <s v="SE"/>
    <x v="0"/>
    <x v="0"/>
    <s v="Data Analyst"/>
    <n v="129000"/>
    <s v="USD"/>
    <n v="129000"/>
    <s v="US"/>
    <n v="0"/>
    <s v="US"/>
    <s v="M"/>
    <x v="2"/>
  </r>
  <r>
    <n v="605"/>
    <n v="2022"/>
    <x v="1"/>
    <s v="SE"/>
    <x v="0"/>
    <x v="0"/>
    <s v="Data Analyst"/>
    <n v="150000"/>
    <s v="USD"/>
    <n v="150000"/>
    <s v="US"/>
    <n v="100"/>
    <s v="US"/>
    <s v="M"/>
    <x v="2"/>
  </r>
  <r>
    <n v="606"/>
    <n v="2022"/>
    <x v="0"/>
    <s v="MI"/>
    <x v="0"/>
    <x v="0"/>
    <s v="AI Scientist"/>
    <n v="200000"/>
    <s v="USD"/>
    <n v="200000"/>
    <s v="IN"/>
    <n v="100"/>
    <s v="US"/>
    <s v="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5">
  <r>
    <n v="252"/>
    <n v="2021"/>
    <x v="0"/>
    <x v="0"/>
    <x v="0"/>
    <n v="600000"/>
    <s v="USD"/>
    <n v="600000"/>
    <s v="US"/>
    <x v="0"/>
    <s v="US"/>
    <s v="Large"/>
  </r>
  <r>
    <n v="33"/>
    <n v="2020"/>
    <x v="1"/>
    <x v="0"/>
    <x v="1"/>
    <n v="450000"/>
    <s v="USD"/>
    <n v="450000"/>
    <s v="US"/>
    <x v="1"/>
    <s v="US"/>
    <s v="Medium"/>
  </r>
  <r>
    <n v="97"/>
    <n v="2021"/>
    <x v="1"/>
    <x v="0"/>
    <x v="2"/>
    <n v="450000"/>
    <s v="USD"/>
    <n v="450000"/>
    <s v="US"/>
    <x v="0"/>
    <s v="US"/>
    <s v="Large"/>
  </r>
  <r>
    <n v="157"/>
    <n v="2021"/>
    <x v="1"/>
    <x v="0"/>
    <x v="3"/>
    <n v="423000"/>
    <s v="USD"/>
    <n v="423000"/>
    <s v="US"/>
    <x v="2"/>
    <s v="US"/>
    <s v="Large"/>
  </r>
  <r>
    <n v="225"/>
    <n v="2021"/>
    <x v="0"/>
    <x v="1"/>
    <x v="4"/>
    <n v="416000"/>
    <s v="USD"/>
    <n v="416000"/>
    <s v="US"/>
    <x v="0"/>
    <s v="US"/>
    <s v="Small"/>
  </r>
  <r>
    <n v="63"/>
    <n v="2020"/>
    <x v="2"/>
    <x v="0"/>
    <x v="5"/>
    <n v="412000"/>
    <s v="USD"/>
    <n v="412000"/>
    <s v="US"/>
    <x v="0"/>
    <s v="US"/>
    <s v="Large"/>
  </r>
  <r>
    <n v="523"/>
    <n v="2022"/>
    <x v="2"/>
    <x v="0"/>
    <x v="6"/>
    <n v="405000"/>
    <s v="USD"/>
    <n v="405000"/>
    <s v="US"/>
    <x v="0"/>
    <s v="US"/>
    <s v="Large"/>
  </r>
  <r>
    <n v="519"/>
    <n v="2022"/>
    <x v="2"/>
    <x v="0"/>
    <x v="7"/>
    <n v="380000"/>
    <s v="USD"/>
    <n v="380000"/>
    <s v="US"/>
    <x v="0"/>
    <s v="US"/>
    <s v="Large"/>
  </r>
  <r>
    <n v="25"/>
    <n v="2020"/>
    <x v="0"/>
    <x v="0"/>
    <x v="8"/>
    <n v="325000"/>
    <s v="USD"/>
    <n v="325000"/>
    <s v="US"/>
    <x v="0"/>
    <s v="US"/>
    <s v="Large"/>
  </r>
  <r>
    <n v="482"/>
    <n v="2022"/>
    <x v="0"/>
    <x v="0"/>
    <x v="9"/>
    <n v="324000"/>
    <s v="USD"/>
    <n v="324000"/>
    <s v="US"/>
    <x v="0"/>
    <s v="US"/>
    <s v="Medium"/>
  </r>
  <r>
    <n v="93"/>
    <n v="2021"/>
    <x v="2"/>
    <x v="0"/>
    <x v="10"/>
    <n v="276000"/>
    <s v="USD"/>
    <n v="276000"/>
    <s v="US"/>
    <x v="1"/>
    <s v="US"/>
    <s v="Large"/>
  </r>
  <r>
    <n v="78"/>
    <n v="2021"/>
    <x v="1"/>
    <x v="1"/>
    <x v="11"/>
    <n v="270000"/>
    <s v="USD"/>
    <n v="270000"/>
    <s v="US"/>
    <x v="0"/>
    <s v="US"/>
    <s v="Large"/>
  </r>
  <r>
    <n v="534"/>
    <n v="2022"/>
    <x v="2"/>
    <x v="0"/>
    <x v="12"/>
    <n v="266400"/>
    <s v="USD"/>
    <n v="266400"/>
    <s v="US"/>
    <x v="0"/>
    <s v="US"/>
    <s v="Medium"/>
  </r>
  <r>
    <n v="416"/>
    <n v="2022"/>
    <x v="2"/>
    <x v="0"/>
    <x v="5"/>
    <n v="260000"/>
    <s v="USD"/>
    <n v="260000"/>
    <s v="US"/>
    <x v="0"/>
    <s v="US"/>
    <s v="Medium"/>
  </r>
  <r>
    <n v="231"/>
    <n v="2021"/>
    <x v="2"/>
    <x v="0"/>
    <x v="11"/>
    <n v="256000"/>
    <s v="USD"/>
    <n v="256000"/>
    <s v="US"/>
    <x v="0"/>
    <s v="US"/>
    <s v="Small"/>
  </r>
  <r>
    <n v="37"/>
    <n v="2020"/>
    <x v="3"/>
    <x v="0"/>
    <x v="13"/>
    <n v="250000"/>
    <s v="USD"/>
    <n v="250000"/>
    <s v="US"/>
    <x v="2"/>
    <s v="US"/>
    <s v="Large"/>
  </r>
  <r>
    <n v="167"/>
    <n v="2021"/>
    <x v="0"/>
    <x v="0"/>
    <x v="8"/>
    <n v="250000"/>
    <s v="USD"/>
    <n v="250000"/>
    <s v="US"/>
    <x v="1"/>
    <s v="US"/>
    <s v="Large"/>
  </r>
  <r>
    <n v="337"/>
    <n v="2022"/>
    <x v="2"/>
    <x v="0"/>
    <x v="9"/>
    <n v="243900"/>
    <s v="USD"/>
    <n v="243900"/>
    <s v="US"/>
    <x v="0"/>
    <s v="US"/>
    <s v="Medium"/>
  </r>
  <r>
    <n v="309"/>
    <n v="2022"/>
    <x v="0"/>
    <x v="0"/>
    <x v="9"/>
    <n v="242000"/>
    <s v="USD"/>
    <n v="242000"/>
    <s v="US"/>
    <x v="0"/>
    <s v="US"/>
    <s v="Medium"/>
  </r>
  <r>
    <n v="421"/>
    <n v="2022"/>
    <x v="1"/>
    <x v="0"/>
    <x v="14"/>
    <n v="241000"/>
    <s v="USD"/>
    <n v="241000"/>
    <s v="US"/>
    <x v="0"/>
    <s v="US"/>
    <s v="Medium"/>
  </r>
  <r>
    <n v="141"/>
    <n v="2021"/>
    <x v="2"/>
    <x v="0"/>
    <x v="14"/>
    <n v="240000"/>
    <s v="USD"/>
    <n v="240000"/>
    <s v="US"/>
    <x v="1"/>
    <s v="US"/>
    <s v="Large"/>
  </r>
  <r>
    <n v="173"/>
    <n v="2021"/>
    <x v="2"/>
    <x v="0"/>
    <x v="4"/>
    <n v="235000"/>
    <s v="USD"/>
    <n v="235000"/>
    <s v="US"/>
    <x v="0"/>
    <s v="US"/>
    <s v="Large"/>
  </r>
  <r>
    <n v="74"/>
    <n v="2021"/>
    <x v="0"/>
    <x v="0"/>
    <x v="15"/>
    <n v="235000"/>
    <s v="USD"/>
    <n v="235000"/>
    <s v="US"/>
    <x v="0"/>
    <s v="US"/>
    <s v="Large"/>
  </r>
  <r>
    <n v="486"/>
    <n v="2022"/>
    <x v="2"/>
    <x v="0"/>
    <x v="5"/>
    <n v="230000"/>
    <s v="USD"/>
    <n v="230000"/>
    <s v="US"/>
    <x v="0"/>
    <s v="US"/>
    <s v="Medium"/>
  </r>
  <r>
    <n v="592"/>
    <n v="2022"/>
    <x v="2"/>
    <x v="0"/>
    <x v="5"/>
    <n v="230000"/>
    <s v="USD"/>
    <n v="230000"/>
    <s v="US"/>
    <x v="0"/>
    <s v="US"/>
    <s v="Medium"/>
  </r>
  <r>
    <n v="115"/>
    <n v="2021"/>
    <x v="3"/>
    <x v="0"/>
    <x v="16"/>
    <n v="225000"/>
    <s v="USD"/>
    <n v="225000"/>
    <s v="US"/>
    <x v="0"/>
    <s v="US"/>
    <s v="Large"/>
  </r>
  <r>
    <n v="342"/>
    <n v="2022"/>
    <x v="0"/>
    <x v="0"/>
    <x v="17"/>
    <n v="224000"/>
    <s v="USD"/>
    <n v="224000"/>
    <s v="US"/>
    <x v="0"/>
    <s v="US"/>
    <s v="Medium"/>
  </r>
  <r>
    <n v="321"/>
    <n v="2022"/>
    <x v="2"/>
    <x v="0"/>
    <x v="9"/>
    <n v="220110"/>
    <s v="USD"/>
    <n v="220110"/>
    <s v="US"/>
    <x v="1"/>
    <s v="US"/>
    <s v="Medium"/>
  </r>
  <r>
    <n v="582"/>
    <n v="2022"/>
    <x v="2"/>
    <x v="0"/>
    <x v="9"/>
    <n v="220110"/>
    <s v="USD"/>
    <n v="220110"/>
    <s v="US"/>
    <x v="0"/>
    <s v="US"/>
    <s v="Medium"/>
  </r>
  <r>
    <n v="138"/>
    <n v="2021"/>
    <x v="2"/>
    <x v="0"/>
    <x v="4"/>
    <n v="220000"/>
    <s v="USD"/>
    <n v="220000"/>
    <s v="US"/>
    <x v="1"/>
    <s v="US"/>
    <s v="Large"/>
  </r>
  <r>
    <n v="472"/>
    <n v="2022"/>
    <x v="2"/>
    <x v="0"/>
    <x v="5"/>
    <n v="220000"/>
    <s v="USD"/>
    <n v="220000"/>
    <s v="US"/>
    <x v="0"/>
    <s v="US"/>
    <s v="Medium"/>
  </r>
  <r>
    <n v="477"/>
    <n v="2022"/>
    <x v="2"/>
    <x v="0"/>
    <x v="13"/>
    <n v="220000"/>
    <s v="USD"/>
    <n v="220000"/>
    <s v="US"/>
    <x v="0"/>
    <s v="US"/>
    <s v="Medium"/>
  </r>
  <r>
    <n v="483"/>
    <n v="2022"/>
    <x v="0"/>
    <x v="0"/>
    <x v="9"/>
    <n v="216000"/>
    <s v="USD"/>
    <n v="216000"/>
    <s v="US"/>
    <x v="0"/>
    <s v="US"/>
    <s v="Medium"/>
  </r>
  <r>
    <n v="398"/>
    <n v="2022"/>
    <x v="2"/>
    <x v="0"/>
    <x v="5"/>
    <n v="215300"/>
    <s v="USD"/>
    <n v="215300"/>
    <s v="US"/>
    <x v="0"/>
    <s v="US"/>
    <s v="Large"/>
  </r>
  <r>
    <n v="444"/>
    <n v="2022"/>
    <x v="2"/>
    <x v="0"/>
    <x v="5"/>
    <n v="215300"/>
    <s v="USD"/>
    <n v="215300"/>
    <s v="US"/>
    <x v="1"/>
    <s v="US"/>
    <s v="Large"/>
  </r>
  <r>
    <n v="532"/>
    <n v="2022"/>
    <x v="2"/>
    <x v="0"/>
    <x v="13"/>
    <n v="214000"/>
    <s v="USD"/>
    <n v="214000"/>
    <s v="US"/>
    <x v="0"/>
    <s v="US"/>
    <s v="Medium"/>
  </r>
  <r>
    <n v="535"/>
    <n v="2022"/>
    <x v="2"/>
    <x v="0"/>
    <x v="12"/>
    <n v="213120"/>
    <s v="USD"/>
    <n v="213120"/>
    <s v="US"/>
    <x v="0"/>
    <s v="US"/>
    <s v="Medium"/>
  </r>
  <r>
    <n v="357"/>
    <n v="2022"/>
    <x v="2"/>
    <x v="0"/>
    <x v="5"/>
    <n v="211500"/>
    <s v="USD"/>
    <n v="211500"/>
    <s v="US"/>
    <x v="0"/>
    <s v="US"/>
    <s v="Medium"/>
  </r>
  <r>
    <n v="484"/>
    <n v="2022"/>
    <x v="2"/>
    <x v="0"/>
    <x v="9"/>
    <n v="210000"/>
    <s v="USD"/>
    <n v="210000"/>
    <s v="US"/>
    <x v="0"/>
    <s v="US"/>
    <s v="Medium"/>
  </r>
  <r>
    <n v="570"/>
    <n v="2022"/>
    <x v="2"/>
    <x v="0"/>
    <x v="5"/>
    <n v="210000"/>
    <s v="USD"/>
    <n v="210000"/>
    <s v="US"/>
    <x v="0"/>
    <s v="US"/>
    <s v="Medium"/>
  </r>
  <r>
    <n v="574"/>
    <n v="2022"/>
    <x v="2"/>
    <x v="0"/>
    <x v="5"/>
    <n v="210000"/>
    <s v="USD"/>
    <n v="210000"/>
    <s v="US"/>
    <x v="0"/>
    <s v="US"/>
    <s v="Medium"/>
  </r>
  <r>
    <n v="576"/>
    <n v="2022"/>
    <x v="2"/>
    <x v="0"/>
    <x v="5"/>
    <n v="210000"/>
    <s v="USD"/>
    <n v="210000"/>
    <s v="US"/>
    <x v="0"/>
    <s v="US"/>
    <s v="Medium"/>
  </r>
  <r>
    <n v="596"/>
    <n v="2022"/>
    <x v="2"/>
    <x v="0"/>
    <x v="5"/>
    <n v="210000"/>
    <s v="USD"/>
    <n v="210000"/>
    <s v="US"/>
    <x v="0"/>
    <s v="US"/>
    <s v="Medium"/>
  </r>
  <r>
    <n v="400"/>
    <n v="2022"/>
    <x v="2"/>
    <x v="0"/>
    <x v="9"/>
    <n v="209100"/>
    <s v="USD"/>
    <n v="209100"/>
    <s v="US"/>
    <x v="0"/>
    <s v="US"/>
    <s v="Large"/>
  </r>
  <r>
    <n v="446"/>
    <n v="2022"/>
    <x v="2"/>
    <x v="0"/>
    <x v="9"/>
    <n v="209100"/>
    <s v="USD"/>
    <n v="209100"/>
    <s v="US"/>
    <x v="0"/>
    <s v="US"/>
    <s v="Large"/>
  </r>
  <r>
    <n v="378"/>
    <n v="2022"/>
    <x v="2"/>
    <x v="0"/>
    <x v="12"/>
    <n v="208775"/>
    <s v="USD"/>
    <n v="208775"/>
    <s v="US"/>
    <x v="0"/>
    <s v="US"/>
    <s v="Medium"/>
  </r>
  <r>
    <n v="542"/>
    <n v="2022"/>
    <x v="1"/>
    <x v="0"/>
    <x v="9"/>
    <n v="206699"/>
    <s v="USD"/>
    <n v="206699"/>
    <s v="US"/>
    <x v="1"/>
    <s v="US"/>
    <s v="Medium"/>
  </r>
  <r>
    <n v="550"/>
    <n v="2022"/>
    <x v="2"/>
    <x v="0"/>
    <x v="5"/>
    <n v="205300"/>
    <s v="USD"/>
    <n v="205300"/>
    <s v="US"/>
    <x v="1"/>
    <s v="US"/>
    <s v="Large"/>
  </r>
  <r>
    <n v="558"/>
    <n v="2022"/>
    <x v="2"/>
    <x v="0"/>
    <x v="5"/>
    <n v="205300"/>
    <s v="USD"/>
    <n v="205300"/>
    <s v="US"/>
    <x v="1"/>
    <s v="US"/>
    <s v="Medium"/>
  </r>
  <r>
    <n v="560"/>
    <n v="2022"/>
    <x v="2"/>
    <x v="0"/>
    <x v="18"/>
    <n v="205300"/>
    <s v="USD"/>
    <n v="205300"/>
    <s v="US"/>
    <x v="1"/>
    <s v="US"/>
    <s v="Medium"/>
  </r>
  <r>
    <n v="554"/>
    <n v="2022"/>
    <x v="2"/>
    <x v="0"/>
    <x v="9"/>
    <n v="200100"/>
    <s v="USD"/>
    <n v="200100"/>
    <s v="US"/>
    <x v="0"/>
    <s v="US"/>
    <s v="Medium"/>
  </r>
  <r>
    <n v="121"/>
    <n v="2021"/>
    <x v="2"/>
    <x v="0"/>
    <x v="0"/>
    <n v="200000"/>
    <s v="USD"/>
    <n v="200000"/>
    <s v="US"/>
    <x v="0"/>
    <s v="US"/>
    <s v="Medium"/>
  </r>
  <r>
    <n v="206"/>
    <n v="2021"/>
    <x v="2"/>
    <x v="0"/>
    <x v="13"/>
    <n v="200000"/>
    <s v="USD"/>
    <n v="200000"/>
    <s v="US"/>
    <x v="0"/>
    <s v="US"/>
    <s v="Large"/>
  </r>
  <r>
    <n v="232"/>
    <n v="2021"/>
    <x v="2"/>
    <x v="0"/>
    <x v="19"/>
    <n v="200000"/>
    <s v="USD"/>
    <n v="200000"/>
    <s v="US"/>
    <x v="0"/>
    <s v="US"/>
    <s v="Large"/>
  </r>
  <r>
    <n v="233"/>
    <n v="2021"/>
    <x v="2"/>
    <x v="0"/>
    <x v="20"/>
    <n v="200000"/>
    <s v="USD"/>
    <n v="200000"/>
    <s v="US"/>
    <x v="0"/>
    <s v="US"/>
    <s v="Large"/>
  </r>
  <r>
    <n v="310"/>
    <n v="2022"/>
    <x v="0"/>
    <x v="0"/>
    <x v="9"/>
    <n v="200000"/>
    <s v="USD"/>
    <n v="200000"/>
    <s v="US"/>
    <x v="0"/>
    <s v="US"/>
    <s v="Medium"/>
  </r>
  <r>
    <n v="490"/>
    <n v="2022"/>
    <x v="2"/>
    <x v="0"/>
    <x v="15"/>
    <n v="200000"/>
    <s v="USD"/>
    <n v="200000"/>
    <s v="MY"/>
    <x v="0"/>
    <s v="US"/>
    <s v="Medium"/>
  </r>
  <r>
    <n v="119"/>
    <n v="2021"/>
    <x v="1"/>
    <x v="0"/>
    <x v="9"/>
    <n v="200000"/>
    <s v="USD"/>
    <n v="200000"/>
    <s v="US"/>
    <x v="0"/>
    <s v="US"/>
    <s v="Large"/>
  </r>
  <r>
    <n v="256"/>
    <n v="2021"/>
    <x v="1"/>
    <x v="0"/>
    <x v="9"/>
    <n v="200000"/>
    <s v="USD"/>
    <n v="200000"/>
    <s v="US"/>
    <x v="0"/>
    <s v="US"/>
    <s v="Large"/>
  </r>
  <r>
    <n v="478"/>
    <n v="2022"/>
    <x v="1"/>
    <x v="0"/>
    <x v="5"/>
    <n v="200000"/>
    <s v="USD"/>
    <n v="200000"/>
    <s v="US"/>
    <x v="0"/>
    <s v="US"/>
    <s v="Medium"/>
  </r>
  <r>
    <n v="606"/>
    <n v="2022"/>
    <x v="1"/>
    <x v="0"/>
    <x v="21"/>
    <n v="200000"/>
    <s v="USD"/>
    <n v="200000"/>
    <s v="IN"/>
    <x v="0"/>
    <s v="US"/>
    <s v="Large"/>
  </r>
  <r>
    <n v="201"/>
    <n v="2021"/>
    <x v="2"/>
    <x v="0"/>
    <x v="22"/>
    <n v="195000"/>
    <s v="USD"/>
    <n v="195000"/>
    <s v="US"/>
    <x v="0"/>
    <s v="US"/>
    <s v="Medium"/>
  </r>
  <r>
    <n v="533"/>
    <n v="2022"/>
    <x v="2"/>
    <x v="0"/>
    <x v="13"/>
    <n v="192600"/>
    <s v="USD"/>
    <n v="192600"/>
    <s v="US"/>
    <x v="0"/>
    <s v="US"/>
    <s v="Medium"/>
  </r>
  <r>
    <n v="590"/>
    <n v="2022"/>
    <x v="2"/>
    <x v="0"/>
    <x v="12"/>
    <n v="192564"/>
    <s v="USD"/>
    <n v="192564"/>
    <s v="US"/>
    <x v="0"/>
    <s v="US"/>
    <s v="Medium"/>
  </r>
  <r>
    <n v="67"/>
    <n v="2020"/>
    <x v="2"/>
    <x v="0"/>
    <x v="14"/>
    <n v="190200"/>
    <s v="USD"/>
    <n v="190200"/>
    <s v="US"/>
    <x v="0"/>
    <s v="US"/>
    <s v="Medium"/>
  </r>
  <r>
    <n v="6"/>
    <n v="2020"/>
    <x v="2"/>
    <x v="0"/>
    <x v="23"/>
    <n v="190000"/>
    <s v="USD"/>
    <n v="190000"/>
    <s v="US"/>
    <x v="0"/>
    <s v="US"/>
    <s v="Small"/>
  </r>
  <r>
    <n v="371"/>
    <n v="2022"/>
    <x v="2"/>
    <x v="0"/>
    <x v="13"/>
    <n v="189650"/>
    <s v="USD"/>
    <n v="189650"/>
    <s v="US"/>
    <x v="1"/>
    <s v="US"/>
    <s v="Medium"/>
  </r>
  <r>
    <n v="438"/>
    <n v="2022"/>
    <x v="2"/>
    <x v="0"/>
    <x v="13"/>
    <n v="189650"/>
    <s v="USD"/>
    <n v="189650"/>
    <s v="US"/>
    <x v="1"/>
    <s v="US"/>
    <s v="Medium"/>
  </r>
  <r>
    <n v="47"/>
    <n v="2020"/>
    <x v="2"/>
    <x v="0"/>
    <x v="9"/>
    <n v="188000"/>
    <s v="USD"/>
    <n v="188000"/>
    <s v="US"/>
    <x v="0"/>
    <s v="US"/>
    <s v="Large"/>
  </r>
  <r>
    <n v="476"/>
    <n v="2022"/>
    <x v="2"/>
    <x v="0"/>
    <x v="5"/>
    <n v="185100"/>
    <s v="USD"/>
    <n v="185100"/>
    <s v="US"/>
    <x v="0"/>
    <s v="US"/>
    <s v="Medium"/>
  </r>
  <r>
    <n v="215"/>
    <n v="2021"/>
    <x v="2"/>
    <x v="0"/>
    <x v="0"/>
    <n v="185000"/>
    <s v="USD"/>
    <n v="185000"/>
    <s v="US"/>
    <x v="0"/>
    <s v="US"/>
    <s v="Large"/>
  </r>
  <r>
    <n v="258"/>
    <n v="2021"/>
    <x v="2"/>
    <x v="0"/>
    <x v="13"/>
    <n v="185000"/>
    <s v="USD"/>
    <n v="185000"/>
    <s v="US"/>
    <x v="2"/>
    <s v="US"/>
    <s v="Large"/>
  </r>
  <r>
    <n v="561"/>
    <n v="2022"/>
    <x v="2"/>
    <x v="0"/>
    <x v="18"/>
    <n v="184700"/>
    <s v="USD"/>
    <n v="184700"/>
    <s v="US"/>
    <x v="1"/>
    <s v="US"/>
    <s v="Medium"/>
  </r>
  <r>
    <n v="407"/>
    <n v="2022"/>
    <x v="2"/>
    <x v="0"/>
    <x v="9"/>
    <n v="183600"/>
    <s v="USD"/>
    <n v="183600"/>
    <s v="US"/>
    <x v="0"/>
    <s v="US"/>
    <s v="Large"/>
  </r>
  <r>
    <n v="319"/>
    <n v="2022"/>
    <x v="2"/>
    <x v="0"/>
    <x v="9"/>
    <n v="181940"/>
    <s v="USD"/>
    <n v="181940"/>
    <s v="US"/>
    <x v="1"/>
    <s v="US"/>
    <s v="Medium"/>
  </r>
  <r>
    <n v="323"/>
    <n v="2022"/>
    <x v="2"/>
    <x v="0"/>
    <x v="5"/>
    <n v="180000"/>
    <s v="USD"/>
    <n v="180000"/>
    <s v="US"/>
    <x v="1"/>
    <s v="US"/>
    <s v="Large"/>
  </r>
  <r>
    <n v="409"/>
    <n v="2022"/>
    <x v="2"/>
    <x v="0"/>
    <x v="5"/>
    <n v="180000"/>
    <s v="USD"/>
    <n v="180000"/>
    <s v="US"/>
    <x v="0"/>
    <s v="US"/>
    <s v="Medium"/>
  </r>
  <r>
    <n v="423"/>
    <n v="2022"/>
    <x v="2"/>
    <x v="0"/>
    <x v="5"/>
    <n v="180000"/>
    <s v="USD"/>
    <n v="180000"/>
    <s v="US"/>
    <x v="1"/>
    <s v="US"/>
    <s v="Medium"/>
  </r>
  <r>
    <n v="448"/>
    <n v="2022"/>
    <x v="2"/>
    <x v="0"/>
    <x v="9"/>
    <n v="180000"/>
    <s v="USD"/>
    <n v="180000"/>
    <s v="US"/>
    <x v="0"/>
    <s v="US"/>
    <s v="Medium"/>
  </r>
  <r>
    <n v="234"/>
    <n v="2021"/>
    <x v="1"/>
    <x v="0"/>
    <x v="12"/>
    <n v="180000"/>
    <s v="USD"/>
    <n v="180000"/>
    <s v="US"/>
    <x v="0"/>
    <s v="US"/>
    <s v="Large"/>
  </r>
  <r>
    <n v="525"/>
    <n v="2022"/>
    <x v="2"/>
    <x v="0"/>
    <x v="7"/>
    <n v="177000"/>
    <s v="USD"/>
    <n v="177000"/>
    <s v="US"/>
    <x v="0"/>
    <s v="US"/>
    <s v="Large"/>
  </r>
  <r>
    <n v="552"/>
    <n v="2022"/>
    <x v="2"/>
    <x v="0"/>
    <x v="5"/>
    <n v="176000"/>
    <s v="USD"/>
    <n v="176000"/>
    <s v="US"/>
    <x v="0"/>
    <s v="US"/>
    <s v="Medium"/>
  </r>
  <r>
    <n v="562"/>
    <n v="2022"/>
    <x v="2"/>
    <x v="0"/>
    <x v="9"/>
    <n v="175100"/>
    <s v="USD"/>
    <n v="175100"/>
    <s v="US"/>
    <x v="0"/>
    <s v="US"/>
    <s v="Medium"/>
  </r>
  <r>
    <n v="344"/>
    <n v="2022"/>
    <x v="0"/>
    <x v="0"/>
    <x v="18"/>
    <n v="175000"/>
    <s v="USD"/>
    <n v="175000"/>
    <s v="US"/>
    <x v="0"/>
    <s v="US"/>
    <s v="Medium"/>
  </r>
  <r>
    <n v="404"/>
    <n v="2022"/>
    <x v="2"/>
    <x v="0"/>
    <x v="9"/>
    <n v="175000"/>
    <s v="USD"/>
    <n v="175000"/>
    <s v="US"/>
    <x v="0"/>
    <s v="US"/>
    <s v="Medium"/>
  </r>
  <r>
    <n v="175"/>
    <n v="2021"/>
    <x v="2"/>
    <x v="0"/>
    <x v="24"/>
    <n v="174000"/>
    <s v="USD"/>
    <n v="174000"/>
    <s v="US"/>
    <x v="0"/>
    <s v="US"/>
    <s v="Large"/>
  </r>
  <r>
    <n v="193"/>
    <n v="2021"/>
    <x v="2"/>
    <x v="0"/>
    <x v="14"/>
    <n v="174000"/>
    <s v="USD"/>
    <n v="174000"/>
    <s v="US"/>
    <x v="0"/>
    <s v="US"/>
    <s v="Large"/>
  </r>
  <r>
    <n v="88"/>
    <n v="2021"/>
    <x v="2"/>
    <x v="0"/>
    <x v="25"/>
    <n v="170000"/>
    <s v="USD"/>
    <n v="170000"/>
    <s v="US"/>
    <x v="0"/>
    <s v="US"/>
    <s v="Large"/>
  </r>
  <r>
    <n v="249"/>
    <n v="2021"/>
    <x v="2"/>
    <x v="0"/>
    <x v="26"/>
    <n v="170000"/>
    <s v="USD"/>
    <n v="170000"/>
    <s v="US"/>
    <x v="0"/>
    <s v="US"/>
    <s v="Medium"/>
  </r>
  <r>
    <n v="328"/>
    <n v="2022"/>
    <x v="2"/>
    <x v="0"/>
    <x v="20"/>
    <n v="170000"/>
    <s v="USD"/>
    <n v="170000"/>
    <s v="US"/>
    <x v="0"/>
    <s v="US"/>
    <s v="Medium"/>
  </r>
  <r>
    <n v="369"/>
    <n v="2022"/>
    <x v="2"/>
    <x v="0"/>
    <x v="5"/>
    <n v="170000"/>
    <s v="USD"/>
    <n v="170000"/>
    <s v="US"/>
    <x v="0"/>
    <s v="US"/>
    <s v="Medium"/>
  </r>
  <r>
    <n v="170"/>
    <n v="2021"/>
    <x v="1"/>
    <x v="0"/>
    <x v="12"/>
    <n v="170000"/>
    <s v="USD"/>
    <n v="170000"/>
    <s v="US"/>
    <x v="0"/>
    <s v="US"/>
    <s v="Large"/>
  </r>
  <r>
    <n v="294"/>
    <n v="2022"/>
    <x v="1"/>
    <x v="0"/>
    <x v="9"/>
    <n v="170000"/>
    <s v="USD"/>
    <n v="170000"/>
    <s v="US"/>
    <x v="0"/>
    <s v="US"/>
    <s v="Medium"/>
  </r>
  <r>
    <n v="566"/>
    <n v="2022"/>
    <x v="2"/>
    <x v="0"/>
    <x v="20"/>
    <n v="170000"/>
    <s v="USD"/>
    <n v="170000"/>
    <s v="US"/>
    <x v="0"/>
    <s v="US"/>
    <s v="Medium"/>
  </r>
  <r>
    <n v="597"/>
    <n v="2022"/>
    <x v="2"/>
    <x v="0"/>
    <x v="20"/>
    <n v="170000"/>
    <s v="USD"/>
    <n v="170000"/>
    <s v="US"/>
    <x v="0"/>
    <s v="US"/>
    <s v="Medium"/>
  </r>
  <r>
    <n v="343"/>
    <n v="2022"/>
    <x v="0"/>
    <x v="0"/>
    <x v="17"/>
    <n v="167875"/>
    <s v="USD"/>
    <n v="167875"/>
    <s v="US"/>
    <x v="0"/>
    <s v="US"/>
    <s v="Medium"/>
  </r>
  <r>
    <n v="352"/>
    <n v="2022"/>
    <x v="2"/>
    <x v="0"/>
    <x v="5"/>
    <n v="167000"/>
    <s v="USD"/>
    <n v="167000"/>
    <s v="US"/>
    <x v="0"/>
    <s v="US"/>
    <s v="Medium"/>
  </r>
  <r>
    <n v="336"/>
    <n v="2022"/>
    <x v="1"/>
    <x v="0"/>
    <x v="20"/>
    <n v="167000"/>
    <s v="USD"/>
    <n v="167000"/>
    <s v="US"/>
    <x v="0"/>
    <s v="US"/>
    <s v="Medium"/>
  </r>
  <r>
    <n v="334"/>
    <n v="2022"/>
    <x v="2"/>
    <x v="0"/>
    <x v="9"/>
    <n v="165400"/>
    <s v="USD"/>
    <n v="165400"/>
    <s v="US"/>
    <x v="0"/>
    <s v="US"/>
    <s v="Medium"/>
  </r>
  <r>
    <n v="377"/>
    <n v="2022"/>
    <x v="2"/>
    <x v="0"/>
    <x v="9"/>
    <n v="165400"/>
    <s v="USD"/>
    <n v="165400"/>
    <s v="US"/>
    <x v="0"/>
    <s v="US"/>
    <s v="Medium"/>
  </r>
  <r>
    <n v="315"/>
    <n v="2022"/>
    <x v="2"/>
    <x v="0"/>
    <x v="5"/>
    <n v="165220"/>
    <s v="USD"/>
    <n v="165220"/>
    <s v="US"/>
    <x v="0"/>
    <s v="US"/>
    <s v="Medium"/>
  </r>
  <r>
    <n v="165"/>
    <n v="2021"/>
    <x v="2"/>
    <x v="0"/>
    <x v="27"/>
    <n v="165000"/>
    <s v="USD"/>
    <n v="165000"/>
    <s v="US"/>
    <x v="0"/>
    <s v="US"/>
    <s v="Large"/>
  </r>
  <r>
    <n v="207"/>
    <n v="2021"/>
    <x v="2"/>
    <x v="0"/>
    <x v="9"/>
    <n v="165000"/>
    <s v="USD"/>
    <n v="165000"/>
    <s v="US"/>
    <x v="1"/>
    <s v="US"/>
    <s v="Medium"/>
  </r>
  <r>
    <n v="243"/>
    <n v="2021"/>
    <x v="2"/>
    <x v="0"/>
    <x v="5"/>
    <n v="165000"/>
    <s v="USD"/>
    <n v="165000"/>
    <s v="US"/>
    <x v="0"/>
    <s v="US"/>
    <s v="Large"/>
  </r>
  <r>
    <n v="497"/>
    <n v="2022"/>
    <x v="2"/>
    <x v="0"/>
    <x v="5"/>
    <n v="165000"/>
    <s v="USD"/>
    <n v="165000"/>
    <s v="US"/>
    <x v="0"/>
    <s v="US"/>
    <s v="Medium"/>
  </r>
  <r>
    <n v="372"/>
    <n v="2022"/>
    <x v="2"/>
    <x v="0"/>
    <x v="13"/>
    <n v="164996"/>
    <s v="USD"/>
    <n v="164996"/>
    <s v="US"/>
    <x v="1"/>
    <s v="US"/>
    <s v="Medium"/>
  </r>
  <r>
    <n v="439"/>
    <n v="2022"/>
    <x v="2"/>
    <x v="0"/>
    <x v="13"/>
    <n v="164996"/>
    <s v="USD"/>
    <n v="164996"/>
    <s v="US"/>
    <x v="1"/>
    <s v="US"/>
    <s v="Medium"/>
  </r>
  <r>
    <n v="387"/>
    <n v="2022"/>
    <x v="2"/>
    <x v="0"/>
    <x v="20"/>
    <n v="164000"/>
    <s v="USD"/>
    <n v="164000"/>
    <s v="US"/>
    <x v="1"/>
    <s v="US"/>
    <s v="Medium"/>
  </r>
  <r>
    <n v="350"/>
    <n v="2022"/>
    <x v="2"/>
    <x v="0"/>
    <x v="14"/>
    <n v="161342"/>
    <s v="USD"/>
    <n v="161342"/>
    <s v="US"/>
    <x v="0"/>
    <s v="US"/>
    <s v="Medium"/>
  </r>
  <r>
    <n v="322"/>
    <n v="2022"/>
    <x v="2"/>
    <x v="0"/>
    <x v="9"/>
    <n v="160080"/>
    <s v="USD"/>
    <n v="160080"/>
    <s v="US"/>
    <x v="1"/>
    <s v="US"/>
    <s v="Medium"/>
  </r>
  <r>
    <n v="583"/>
    <n v="2022"/>
    <x v="2"/>
    <x v="0"/>
    <x v="9"/>
    <n v="160080"/>
    <s v="USD"/>
    <n v="160080"/>
    <s v="US"/>
    <x v="0"/>
    <s v="US"/>
    <s v="Medium"/>
  </r>
  <r>
    <n v="149"/>
    <n v="2021"/>
    <x v="2"/>
    <x v="0"/>
    <x v="28"/>
    <n v="160000"/>
    <s v="USD"/>
    <n v="160000"/>
    <s v="BR"/>
    <x v="0"/>
    <s v="US"/>
    <s v="Small"/>
  </r>
  <r>
    <n v="265"/>
    <n v="2021"/>
    <x v="2"/>
    <x v="0"/>
    <x v="10"/>
    <n v="160000"/>
    <s v="USD"/>
    <n v="160000"/>
    <s v="PR"/>
    <x v="2"/>
    <s v="US"/>
    <s v="Small"/>
  </r>
  <r>
    <n v="364"/>
    <n v="2022"/>
    <x v="2"/>
    <x v="0"/>
    <x v="9"/>
    <n v="160000"/>
    <s v="USD"/>
    <n v="160000"/>
    <s v="US"/>
    <x v="1"/>
    <s v="US"/>
    <s v="Large"/>
  </r>
  <r>
    <n v="204"/>
    <n v="2021"/>
    <x v="1"/>
    <x v="0"/>
    <x v="5"/>
    <n v="160000"/>
    <s v="USD"/>
    <n v="160000"/>
    <s v="US"/>
    <x v="0"/>
    <s v="US"/>
    <s v="Large"/>
  </r>
  <r>
    <n v="419"/>
    <n v="2022"/>
    <x v="1"/>
    <x v="0"/>
    <x v="16"/>
    <n v="160000"/>
    <s v="USD"/>
    <n v="160000"/>
    <s v="US"/>
    <x v="0"/>
    <s v="US"/>
    <s v="Large"/>
  </r>
  <r>
    <n v="598"/>
    <n v="2022"/>
    <x v="1"/>
    <x v="0"/>
    <x v="5"/>
    <n v="160000"/>
    <s v="USD"/>
    <n v="160000"/>
    <s v="US"/>
    <x v="0"/>
    <s v="US"/>
    <s v="Medium"/>
  </r>
  <r>
    <n v="549"/>
    <n v="2022"/>
    <x v="2"/>
    <x v="0"/>
    <x v="9"/>
    <n v="160000"/>
    <s v="USD"/>
    <n v="160000"/>
    <s v="US"/>
    <x v="0"/>
    <s v="US"/>
    <s v="Medium"/>
  </r>
  <r>
    <n v="555"/>
    <n v="2022"/>
    <x v="2"/>
    <x v="0"/>
    <x v="9"/>
    <n v="160000"/>
    <s v="USD"/>
    <n v="160000"/>
    <s v="US"/>
    <x v="0"/>
    <s v="US"/>
    <s v="Medium"/>
  </r>
  <r>
    <n v="422"/>
    <n v="2022"/>
    <x v="1"/>
    <x v="0"/>
    <x v="14"/>
    <n v="159000"/>
    <s v="USD"/>
    <n v="159000"/>
    <s v="US"/>
    <x v="0"/>
    <s v="US"/>
    <s v="Medium"/>
  </r>
  <r>
    <n v="399"/>
    <n v="2022"/>
    <x v="2"/>
    <x v="0"/>
    <x v="5"/>
    <n v="158200"/>
    <s v="USD"/>
    <n v="158200"/>
    <s v="US"/>
    <x v="0"/>
    <s v="US"/>
    <s v="Large"/>
  </r>
  <r>
    <n v="509"/>
    <n v="2022"/>
    <x v="1"/>
    <x v="0"/>
    <x v="7"/>
    <n v="157000"/>
    <s v="USD"/>
    <n v="157000"/>
    <s v="US"/>
    <x v="0"/>
    <s v="US"/>
    <s v="Large"/>
  </r>
  <r>
    <n v="345"/>
    <n v="2022"/>
    <x v="2"/>
    <x v="0"/>
    <x v="9"/>
    <n v="156600"/>
    <s v="USD"/>
    <n v="156600"/>
    <s v="US"/>
    <x v="0"/>
    <s v="US"/>
    <s v="Medium"/>
  </r>
  <r>
    <n v="290"/>
    <n v="2022"/>
    <x v="2"/>
    <x v="0"/>
    <x v="20"/>
    <n v="155000"/>
    <s v="USD"/>
    <n v="155000"/>
    <s v="US"/>
    <x v="0"/>
    <s v="US"/>
    <s v="Medium"/>
  </r>
  <r>
    <n v="388"/>
    <n v="2022"/>
    <x v="2"/>
    <x v="0"/>
    <x v="9"/>
    <n v="155000"/>
    <s v="USD"/>
    <n v="155000"/>
    <s v="US"/>
    <x v="0"/>
    <s v="US"/>
    <s v="Medium"/>
  </r>
  <r>
    <n v="537"/>
    <n v="2022"/>
    <x v="2"/>
    <x v="0"/>
    <x v="9"/>
    <n v="155000"/>
    <s v="USD"/>
    <n v="155000"/>
    <s v="US"/>
    <x v="0"/>
    <s v="US"/>
    <s v="Medium"/>
  </r>
  <r>
    <n v="401"/>
    <n v="2022"/>
    <x v="2"/>
    <x v="0"/>
    <x v="9"/>
    <n v="154600"/>
    <s v="USD"/>
    <n v="154600"/>
    <s v="US"/>
    <x v="0"/>
    <s v="US"/>
    <s v="Large"/>
  </r>
  <r>
    <n v="447"/>
    <n v="2022"/>
    <x v="2"/>
    <x v="0"/>
    <x v="9"/>
    <n v="154600"/>
    <s v="USD"/>
    <n v="154600"/>
    <s v="US"/>
    <x v="0"/>
    <s v="US"/>
    <s v="Large"/>
  </r>
  <r>
    <n v="602"/>
    <n v="2022"/>
    <x v="2"/>
    <x v="0"/>
    <x v="9"/>
    <n v="154000"/>
    <s v="USD"/>
    <n v="154000"/>
    <s v="US"/>
    <x v="0"/>
    <s v="US"/>
    <s v="Medium"/>
  </r>
  <r>
    <n v="148"/>
    <n v="2021"/>
    <x v="2"/>
    <x v="0"/>
    <x v="24"/>
    <n v="153000"/>
    <s v="USD"/>
    <n v="153000"/>
    <s v="US"/>
    <x v="0"/>
    <s v="US"/>
    <s v="Large"/>
  </r>
  <r>
    <n v="495"/>
    <n v="2022"/>
    <x v="1"/>
    <x v="0"/>
    <x v="16"/>
    <n v="153000"/>
    <s v="USD"/>
    <n v="153000"/>
    <s v="US"/>
    <x v="2"/>
    <s v="US"/>
    <s v="Medium"/>
  </r>
  <r>
    <n v="516"/>
    <n v="2022"/>
    <x v="2"/>
    <x v="0"/>
    <x v="14"/>
    <n v="152500"/>
    <s v="USD"/>
    <n v="152500"/>
    <s v="US"/>
    <x v="0"/>
    <s v="US"/>
    <s v="Medium"/>
  </r>
  <r>
    <n v="125"/>
    <n v="2021"/>
    <x v="1"/>
    <x v="0"/>
    <x v="4"/>
    <n v="151000"/>
    <s v="USD"/>
    <n v="151000"/>
    <s v="US"/>
    <x v="0"/>
    <s v="US"/>
    <s v="Large"/>
  </r>
  <r>
    <n v="594"/>
    <n v="2022"/>
    <x v="2"/>
    <x v="0"/>
    <x v="29"/>
    <n v="150260"/>
    <s v="USD"/>
    <n v="150260"/>
    <s v="US"/>
    <x v="0"/>
    <s v="US"/>
    <s v="Medium"/>
  </r>
  <r>
    <n v="577"/>
    <n v="2022"/>
    <x v="2"/>
    <x v="0"/>
    <x v="20"/>
    <n v="150075"/>
    <s v="USD"/>
    <n v="150075"/>
    <s v="US"/>
    <x v="0"/>
    <s v="US"/>
    <s v="Medium"/>
  </r>
  <r>
    <n v="4"/>
    <n v="2020"/>
    <x v="2"/>
    <x v="0"/>
    <x v="13"/>
    <n v="150000"/>
    <s v="USD"/>
    <n v="150000"/>
    <s v="US"/>
    <x v="2"/>
    <s v="US"/>
    <s v="Large"/>
  </r>
  <r>
    <n v="101"/>
    <n v="2021"/>
    <x v="2"/>
    <x v="0"/>
    <x v="9"/>
    <n v="150000"/>
    <s v="USD"/>
    <n v="150000"/>
    <s v="US"/>
    <x v="0"/>
    <s v="US"/>
    <s v="Large"/>
  </r>
  <r>
    <n v="108"/>
    <n v="2021"/>
    <x v="2"/>
    <x v="0"/>
    <x v="9"/>
    <n v="150000"/>
    <s v="USD"/>
    <n v="150000"/>
    <s v="US"/>
    <x v="0"/>
    <s v="US"/>
    <s v="Medium"/>
  </r>
  <r>
    <n v="142"/>
    <n v="2021"/>
    <x v="2"/>
    <x v="0"/>
    <x v="24"/>
    <n v="150000"/>
    <s v="USD"/>
    <n v="150000"/>
    <s v="US"/>
    <x v="1"/>
    <s v="US"/>
    <s v="Large"/>
  </r>
  <r>
    <n v="73"/>
    <n v="2021"/>
    <x v="0"/>
    <x v="0"/>
    <x v="30"/>
    <n v="150000"/>
    <s v="USD"/>
    <n v="150000"/>
    <s v="IN"/>
    <x v="0"/>
    <s v="US"/>
    <s v="Large"/>
  </r>
  <r>
    <n v="356"/>
    <n v="2022"/>
    <x v="2"/>
    <x v="0"/>
    <x v="5"/>
    <n v="150000"/>
    <s v="USD"/>
    <n v="150000"/>
    <s v="US"/>
    <x v="1"/>
    <s v="US"/>
    <s v="Medium"/>
  </r>
  <r>
    <n v="151"/>
    <n v="2021"/>
    <x v="1"/>
    <x v="0"/>
    <x v="5"/>
    <n v="150000"/>
    <s v="USD"/>
    <n v="150000"/>
    <s v="US"/>
    <x v="0"/>
    <s v="US"/>
    <s v="Medium"/>
  </r>
  <r>
    <n v="169"/>
    <n v="2021"/>
    <x v="1"/>
    <x v="0"/>
    <x v="12"/>
    <n v="150000"/>
    <s v="USD"/>
    <n v="150000"/>
    <s v="US"/>
    <x v="0"/>
    <s v="US"/>
    <s v="Large"/>
  </r>
  <r>
    <n v="295"/>
    <n v="2022"/>
    <x v="1"/>
    <x v="0"/>
    <x v="9"/>
    <n v="150000"/>
    <s v="USD"/>
    <n v="150000"/>
    <s v="US"/>
    <x v="0"/>
    <s v="US"/>
    <s v="Medium"/>
  </r>
  <r>
    <n v="593"/>
    <n v="2022"/>
    <x v="2"/>
    <x v="0"/>
    <x v="5"/>
    <n v="150000"/>
    <s v="USD"/>
    <n v="150000"/>
    <s v="US"/>
    <x v="0"/>
    <s v="US"/>
    <s v="Medium"/>
  </r>
  <r>
    <n v="605"/>
    <n v="2022"/>
    <x v="2"/>
    <x v="0"/>
    <x v="20"/>
    <n v="150000"/>
    <s v="USD"/>
    <n v="150000"/>
    <s v="US"/>
    <x v="0"/>
    <s v="US"/>
    <s v="Medium"/>
  </r>
  <r>
    <n v="379"/>
    <n v="2022"/>
    <x v="2"/>
    <x v="0"/>
    <x v="12"/>
    <n v="147800"/>
    <s v="USD"/>
    <n v="147800"/>
    <s v="US"/>
    <x v="0"/>
    <s v="US"/>
    <s v="Medium"/>
  </r>
  <r>
    <n v="195"/>
    <n v="2021"/>
    <x v="1"/>
    <x v="0"/>
    <x v="5"/>
    <n v="147000"/>
    <s v="USD"/>
    <n v="147000"/>
    <s v="US"/>
    <x v="2"/>
    <s v="US"/>
    <s v="Large"/>
  </r>
  <r>
    <n v="302"/>
    <n v="2022"/>
    <x v="2"/>
    <x v="0"/>
    <x v="5"/>
    <n v="146000"/>
    <s v="USD"/>
    <n v="146000"/>
    <s v="US"/>
    <x v="0"/>
    <s v="US"/>
    <s v="Medium"/>
  </r>
  <r>
    <n v="394"/>
    <n v="2022"/>
    <x v="2"/>
    <x v="0"/>
    <x v="29"/>
    <n v="145000"/>
    <s v="USD"/>
    <n v="145000"/>
    <s v="US"/>
    <x v="0"/>
    <s v="US"/>
    <s v="Medium"/>
  </r>
  <r>
    <n v="556"/>
    <n v="2022"/>
    <x v="2"/>
    <x v="0"/>
    <x v="9"/>
    <n v="145000"/>
    <s v="USD"/>
    <n v="145000"/>
    <s v="US"/>
    <x v="0"/>
    <s v="US"/>
    <s v="Medium"/>
  </r>
  <r>
    <n v="591"/>
    <n v="2022"/>
    <x v="2"/>
    <x v="0"/>
    <x v="12"/>
    <n v="144854"/>
    <s v="USD"/>
    <n v="144854"/>
    <s v="US"/>
    <x v="0"/>
    <s v="US"/>
    <s v="Medium"/>
  </r>
  <r>
    <n v="154"/>
    <n v="2021"/>
    <x v="2"/>
    <x v="0"/>
    <x v="14"/>
    <n v="144000"/>
    <s v="USD"/>
    <n v="144000"/>
    <s v="US"/>
    <x v="0"/>
    <s v="US"/>
    <s v="Large"/>
  </r>
  <r>
    <n v="466"/>
    <n v="2022"/>
    <x v="2"/>
    <x v="0"/>
    <x v="1"/>
    <n v="144000"/>
    <s v="USD"/>
    <n v="144000"/>
    <s v="US"/>
    <x v="2"/>
    <s v="US"/>
    <s v="Large"/>
  </r>
  <r>
    <n v="553"/>
    <n v="2022"/>
    <x v="2"/>
    <x v="0"/>
    <x v="5"/>
    <n v="144000"/>
    <s v="USD"/>
    <n v="144000"/>
    <s v="US"/>
    <x v="0"/>
    <s v="US"/>
    <s v="Medium"/>
  </r>
  <r>
    <n v="538"/>
    <n v="2022"/>
    <x v="1"/>
    <x v="0"/>
    <x v="5"/>
    <n v="141300"/>
    <s v="USD"/>
    <n v="141300"/>
    <s v="US"/>
    <x v="1"/>
    <s v="US"/>
    <s v="Medium"/>
  </r>
  <r>
    <n v="428"/>
    <n v="2022"/>
    <x v="2"/>
    <x v="0"/>
    <x v="5"/>
    <n v="140400"/>
    <s v="USD"/>
    <n v="140400"/>
    <s v="US"/>
    <x v="1"/>
    <s v="US"/>
    <s v="Large"/>
  </r>
  <r>
    <n v="551"/>
    <n v="2022"/>
    <x v="2"/>
    <x v="0"/>
    <x v="5"/>
    <n v="140400"/>
    <s v="USD"/>
    <n v="140400"/>
    <s v="US"/>
    <x v="1"/>
    <s v="US"/>
    <s v="Large"/>
  </r>
  <r>
    <n v="559"/>
    <n v="2022"/>
    <x v="2"/>
    <x v="0"/>
    <x v="5"/>
    <n v="140400"/>
    <s v="USD"/>
    <n v="140400"/>
    <s v="US"/>
    <x v="1"/>
    <s v="US"/>
    <s v="Medium"/>
  </r>
  <r>
    <n v="563"/>
    <n v="2022"/>
    <x v="2"/>
    <x v="0"/>
    <x v="9"/>
    <n v="140250"/>
    <s v="USD"/>
    <n v="140250"/>
    <s v="US"/>
    <x v="0"/>
    <s v="US"/>
    <s v="Medium"/>
  </r>
  <r>
    <n v="219"/>
    <n v="2021"/>
    <x v="2"/>
    <x v="0"/>
    <x v="29"/>
    <n v="140000"/>
    <s v="USD"/>
    <n v="140000"/>
    <s v="US"/>
    <x v="0"/>
    <s v="US"/>
    <s v="Large"/>
  </r>
  <r>
    <n v="469"/>
    <n v="2022"/>
    <x v="2"/>
    <x v="0"/>
    <x v="5"/>
    <n v="140000"/>
    <s v="USD"/>
    <n v="140000"/>
    <s v="US"/>
    <x v="0"/>
    <s v="US"/>
    <s v="Medium"/>
  </r>
  <r>
    <n v="473"/>
    <n v="2022"/>
    <x v="2"/>
    <x v="0"/>
    <x v="5"/>
    <n v="140000"/>
    <s v="USD"/>
    <n v="140000"/>
    <s v="US"/>
    <x v="0"/>
    <s v="US"/>
    <s v="Medium"/>
  </r>
  <r>
    <n v="81"/>
    <n v="2021"/>
    <x v="1"/>
    <x v="0"/>
    <x v="9"/>
    <n v="140000"/>
    <s v="USD"/>
    <n v="140000"/>
    <s v="US"/>
    <x v="0"/>
    <s v="US"/>
    <s v="Large"/>
  </r>
  <r>
    <n v="569"/>
    <n v="2022"/>
    <x v="2"/>
    <x v="0"/>
    <x v="5"/>
    <n v="140000"/>
    <s v="USD"/>
    <n v="140000"/>
    <s v="US"/>
    <x v="0"/>
    <s v="US"/>
    <s v="Medium"/>
  </r>
  <r>
    <n v="571"/>
    <n v="2022"/>
    <x v="2"/>
    <x v="0"/>
    <x v="5"/>
    <n v="140000"/>
    <s v="USD"/>
    <n v="140000"/>
    <s v="US"/>
    <x v="0"/>
    <s v="US"/>
    <s v="Medium"/>
  </r>
  <r>
    <n v="575"/>
    <n v="2022"/>
    <x v="2"/>
    <x v="0"/>
    <x v="5"/>
    <n v="140000"/>
    <s v="USD"/>
    <n v="140000"/>
    <s v="US"/>
    <x v="0"/>
    <s v="US"/>
    <s v="Medium"/>
  </r>
  <r>
    <n v="587"/>
    <n v="2022"/>
    <x v="2"/>
    <x v="0"/>
    <x v="5"/>
    <n v="140000"/>
    <s v="USD"/>
    <n v="140000"/>
    <s v="US"/>
    <x v="0"/>
    <s v="US"/>
    <s v="Medium"/>
  </r>
  <r>
    <n v="365"/>
    <n v="2022"/>
    <x v="2"/>
    <x v="0"/>
    <x v="5"/>
    <n v="138600"/>
    <s v="USD"/>
    <n v="138600"/>
    <s v="US"/>
    <x v="0"/>
    <s v="US"/>
    <s v="Medium"/>
  </r>
  <r>
    <n v="59"/>
    <n v="2020"/>
    <x v="1"/>
    <x v="0"/>
    <x v="5"/>
    <n v="138350"/>
    <s v="USD"/>
    <n v="138350"/>
    <s v="US"/>
    <x v="0"/>
    <s v="US"/>
    <s v="Medium"/>
  </r>
  <r>
    <n v="39"/>
    <n v="2020"/>
    <x v="3"/>
    <x v="0"/>
    <x v="13"/>
    <n v="138000"/>
    <s v="USD"/>
    <n v="138000"/>
    <s v="US"/>
    <x v="0"/>
    <s v="US"/>
    <s v="Small"/>
  </r>
  <r>
    <n v="351"/>
    <n v="2022"/>
    <x v="2"/>
    <x v="0"/>
    <x v="14"/>
    <n v="137141"/>
    <s v="USD"/>
    <n v="137141"/>
    <s v="US"/>
    <x v="0"/>
    <s v="US"/>
    <s v="Medium"/>
  </r>
  <r>
    <n v="380"/>
    <n v="2022"/>
    <x v="2"/>
    <x v="0"/>
    <x v="9"/>
    <n v="136994"/>
    <s v="USD"/>
    <n v="136994"/>
    <s v="US"/>
    <x v="0"/>
    <s v="US"/>
    <s v="Medium"/>
  </r>
  <r>
    <n v="298"/>
    <n v="2022"/>
    <x v="2"/>
    <x v="0"/>
    <x v="5"/>
    <n v="136620"/>
    <s v="USD"/>
    <n v="136620"/>
    <s v="US"/>
    <x v="0"/>
    <s v="US"/>
    <s v="Medium"/>
  </r>
  <r>
    <n v="338"/>
    <n v="2022"/>
    <x v="2"/>
    <x v="0"/>
    <x v="20"/>
    <n v="136600"/>
    <s v="USD"/>
    <n v="136600"/>
    <s v="US"/>
    <x v="0"/>
    <s v="US"/>
    <s v="Medium"/>
  </r>
  <r>
    <n v="366"/>
    <n v="2022"/>
    <x v="2"/>
    <x v="0"/>
    <x v="9"/>
    <n v="136000"/>
    <s v="USD"/>
    <n v="136000"/>
    <s v="US"/>
    <x v="1"/>
    <s v="US"/>
    <s v="Medium"/>
  </r>
  <r>
    <n v="368"/>
    <n v="2022"/>
    <x v="0"/>
    <x v="0"/>
    <x v="18"/>
    <n v="135000"/>
    <s v="USD"/>
    <n v="135000"/>
    <s v="US"/>
    <x v="0"/>
    <s v="US"/>
    <s v="Medium"/>
  </r>
  <r>
    <n v="228"/>
    <n v="2021"/>
    <x v="2"/>
    <x v="0"/>
    <x v="5"/>
    <n v="135000"/>
    <s v="USD"/>
    <n v="135000"/>
    <s v="US"/>
    <x v="1"/>
    <s v="US"/>
    <s v="Large"/>
  </r>
  <r>
    <n v="289"/>
    <n v="2022"/>
    <x v="2"/>
    <x v="0"/>
    <x v="9"/>
    <n v="135000"/>
    <s v="USD"/>
    <n v="135000"/>
    <s v="US"/>
    <x v="0"/>
    <s v="US"/>
    <s v="Medium"/>
  </r>
  <r>
    <n v="349"/>
    <n v="2022"/>
    <x v="2"/>
    <x v="0"/>
    <x v="20"/>
    <n v="135000"/>
    <s v="USD"/>
    <n v="135000"/>
    <s v="US"/>
    <x v="0"/>
    <s v="US"/>
    <s v="Medium"/>
  </r>
  <r>
    <n v="8"/>
    <n v="2020"/>
    <x v="1"/>
    <x v="0"/>
    <x v="31"/>
    <n v="135000"/>
    <s v="USD"/>
    <n v="135000"/>
    <s v="US"/>
    <x v="0"/>
    <s v="US"/>
    <s v="Large"/>
  </r>
  <r>
    <n v="140"/>
    <n v="2021"/>
    <x v="1"/>
    <x v="0"/>
    <x v="20"/>
    <n v="135000"/>
    <s v="USD"/>
    <n v="135000"/>
    <s v="US"/>
    <x v="0"/>
    <s v="US"/>
    <s v="Large"/>
  </r>
  <r>
    <n v="470"/>
    <n v="2022"/>
    <x v="1"/>
    <x v="0"/>
    <x v="20"/>
    <n v="135000"/>
    <s v="USD"/>
    <n v="135000"/>
    <s v="US"/>
    <x v="0"/>
    <s v="US"/>
    <s v="Medium"/>
  </r>
  <r>
    <n v="524"/>
    <n v="2022"/>
    <x v="1"/>
    <x v="0"/>
    <x v="5"/>
    <n v="135000"/>
    <s v="USD"/>
    <n v="135000"/>
    <s v="US"/>
    <x v="0"/>
    <s v="US"/>
    <s v="Large"/>
  </r>
  <r>
    <n v="527"/>
    <n v="2022"/>
    <x v="2"/>
    <x v="0"/>
    <x v="20"/>
    <n v="135000"/>
    <s v="USD"/>
    <n v="135000"/>
    <s v="US"/>
    <x v="0"/>
    <s v="US"/>
    <s v="Medium"/>
  </r>
  <r>
    <n v="320"/>
    <n v="2022"/>
    <x v="2"/>
    <x v="0"/>
    <x v="9"/>
    <n v="132320"/>
    <s v="USD"/>
    <n v="132320"/>
    <s v="US"/>
    <x v="1"/>
    <s v="US"/>
    <s v="Medium"/>
  </r>
  <r>
    <n v="335"/>
    <n v="2022"/>
    <x v="2"/>
    <x v="0"/>
    <x v="9"/>
    <n v="132320"/>
    <s v="USD"/>
    <n v="132320"/>
    <s v="US"/>
    <x v="0"/>
    <s v="US"/>
    <s v="Medium"/>
  </r>
  <r>
    <n v="385"/>
    <n v="2022"/>
    <x v="2"/>
    <x v="0"/>
    <x v="9"/>
    <n v="132320"/>
    <s v="USD"/>
    <n v="132320"/>
    <s v="US"/>
    <x v="0"/>
    <s v="US"/>
    <s v="Medium"/>
  </r>
  <r>
    <n v="376"/>
    <n v="2022"/>
    <x v="2"/>
    <x v="0"/>
    <x v="20"/>
    <n v="132000"/>
    <s v="USD"/>
    <n v="132000"/>
    <s v="US"/>
    <x v="1"/>
    <s v="US"/>
    <s v="Medium"/>
  </r>
  <r>
    <n v="61"/>
    <n v="2020"/>
    <x v="1"/>
    <x v="0"/>
    <x v="9"/>
    <n v="130800"/>
    <s v="USD"/>
    <n v="130800"/>
    <s v="ES"/>
    <x v="0"/>
    <s v="US"/>
    <s v="Medium"/>
  </r>
  <r>
    <n v="326"/>
    <n v="2022"/>
    <x v="0"/>
    <x v="0"/>
    <x v="20"/>
    <n v="130000"/>
    <s v="USD"/>
    <n v="130000"/>
    <s v="US"/>
    <x v="0"/>
    <s v="US"/>
    <s v="Medium"/>
  </r>
  <r>
    <n v="260"/>
    <n v="2021"/>
    <x v="1"/>
    <x v="0"/>
    <x v="5"/>
    <n v="130000"/>
    <s v="USD"/>
    <n v="130000"/>
    <s v="US"/>
    <x v="2"/>
    <s v="US"/>
    <s v="Large"/>
  </r>
  <r>
    <n v="292"/>
    <n v="2022"/>
    <x v="1"/>
    <x v="0"/>
    <x v="5"/>
    <n v="130000"/>
    <s v="USD"/>
    <n v="130000"/>
    <s v="US"/>
    <x v="1"/>
    <s v="US"/>
    <s v="Medium"/>
  </r>
  <r>
    <n v="599"/>
    <n v="2022"/>
    <x v="1"/>
    <x v="0"/>
    <x v="5"/>
    <n v="130000"/>
    <s v="USD"/>
    <n v="130000"/>
    <s v="US"/>
    <x v="0"/>
    <s v="US"/>
    <s v="Medium"/>
  </r>
  <r>
    <n v="544"/>
    <n v="2022"/>
    <x v="2"/>
    <x v="0"/>
    <x v="9"/>
    <n v="130000"/>
    <s v="USD"/>
    <n v="130000"/>
    <s v="US"/>
    <x v="0"/>
    <s v="US"/>
    <s v="Medium"/>
  </r>
  <r>
    <n v="547"/>
    <n v="2022"/>
    <x v="2"/>
    <x v="0"/>
    <x v="9"/>
    <n v="130000"/>
    <s v="USD"/>
    <n v="130000"/>
    <s v="US"/>
    <x v="0"/>
    <s v="US"/>
    <s v="Medium"/>
  </r>
  <r>
    <n v="604"/>
    <n v="2022"/>
    <x v="2"/>
    <x v="0"/>
    <x v="20"/>
    <n v="129000"/>
    <s v="USD"/>
    <n v="129000"/>
    <s v="US"/>
    <x v="1"/>
    <s v="US"/>
    <s v="Medium"/>
  </r>
  <r>
    <n v="340"/>
    <n v="2022"/>
    <x v="2"/>
    <x v="0"/>
    <x v="9"/>
    <n v="128875"/>
    <s v="USD"/>
    <n v="128875"/>
    <s v="US"/>
    <x v="0"/>
    <s v="US"/>
    <s v="Medium"/>
  </r>
  <r>
    <n v="382"/>
    <n v="2022"/>
    <x v="2"/>
    <x v="0"/>
    <x v="20"/>
    <n v="128875"/>
    <s v="USD"/>
    <n v="128875"/>
    <s v="US"/>
    <x v="0"/>
    <s v="US"/>
    <s v="Medium"/>
  </r>
  <r>
    <n v="308"/>
    <n v="2022"/>
    <x v="1"/>
    <x v="0"/>
    <x v="20"/>
    <n v="126500"/>
    <s v="USD"/>
    <n v="126500"/>
    <s v="US"/>
    <x v="1"/>
    <s v="US"/>
    <s v="Medium"/>
  </r>
  <r>
    <n v="580"/>
    <n v="2022"/>
    <x v="2"/>
    <x v="0"/>
    <x v="20"/>
    <n v="126500"/>
    <s v="USD"/>
    <n v="126500"/>
    <s v="US"/>
    <x v="0"/>
    <s v="US"/>
    <s v="Medium"/>
  </r>
  <r>
    <n v="603"/>
    <n v="2022"/>
    <x v="2"/>
    <x v="0"/>
    <x v="9"/>
    <n v="126000"/>
    <s v="USD"/>
    <n v="126000"/>
    <s v="US"/>
    <x v="0"/>
    <s v="US"/>
    <s v="Medium"/>
  </r>
  <r>
    <n v="159"/>
    <n v="2021"/>
    <x v="3"/>
    <x v="0"/>
    <x v="13"/>
    <n v="125000"/>
    <s v="USD"/>
    <n v="125000"/>
    <s v="US"/>
    <x v="0"/>
    <s v="US"/>
    <s v="Small"/>
  </r>
  <r>
    <n v="454"/>
    <n v="2022"/>
    <x v="3"/>
    <x v="0"/>
    <x v="32"/>
    <n v="125000"/>
    <s v="USD"/>
    <n v="125000"/>
    <s v="US"/>
    <x v="1"/>
    <s v="US"/>
    <s v="Medium"/>
  </r>
  <r>
    <n v="325"/>
    <n v="2022"/>
    <x v="2"/>
    <x v="0"/>
    <x v="20"/>
    <n v="124190"/>
    <s v="USD"/>
    <n v="124190"/>
    <s v="US"/>
    <x v="0"/>
    <s v="US"/>
    <s v="Medium"/>
  </r>
  <r>
    <n v="303"/>
    <n v="2022"/>
    <x v="2"/>
    <x v="0"/>
    <x v="5"/>
    <n v="123000"/>
    <s v="USD"/>
    <n v="123000"/>
    <s v="US"/>
    <x v="0"/>
    <s v="US"/>
    <s v="Medium"/>
  </r>
  <r>
    <n v="353"/>
    <n v="2022"/>
    <x v="2"/>
    <x v="0"/>
    <x v="5"/>
    <n v="123000"/>
    <s v="USD"/>
    <n v="123000"/>
    <s v="US"/>
    <x v="0"/>
    <s v="US"/>
    <s v="Medium"/>
  </r>
  <r>
    <n v="370"/>
    <n v="2022"/>
    <x v="2"/>
    <x v="0"/>
    <x v="5"/>
    <n v="123000"/>
    <s v="USD"/>
    <n v="123000"/>
    <s v="US"/>
    <x v="0"/>
    <s v="US"/>
    <s v="Medium"/>
  </r>
  <r>
    <n v="291"/>
    <n v="2022"/>
    <x v="2"/>
    <x v="0"/>
    <x v="20"/>
    <n v="120600"/>
    <s v="USD"/>
    <n v="120600"/>
    <s v="US"/>
    <x v="0"/>
    <s v="US"/>
    <s v="Medium"/>
  </r>
  <r>
    <n v="317"/>
    <n v="2022"/>
    <x v="2"/>
    <x v="0"/>
    <x v="5"/>
    <n v="120160"/>
    <s v="USD"/>
    <n v="120160"/>
    <s v="US"/>
    <x v="0"/>
    <s v="US"/>
    <s v="Medium"/>
  </r>
  <r>
    <n v="58"/>
    <n v="2020"/>
    <x v="2"/>
    <x v="0"/>
    <x v="5"/>
    <n v="120000"/>
    <s v="USD"/>
    <n v="120000"/>
    <s v="US"/>
    <x v="2"/>
    <s v="US"/>
    <s v="Large"/>
  </r>
  <r>
    <n v="126"/>
    <n v="2021"/>
    <x v="2"/>
    <x v="0"/>
    <x v="16"/>
    <n v="120000"/>
    <s v="USD"/>
    <n v="120000"/>
    <s v="US"/>
    <x v="2"/>
    <s v="US"/>
    <s v="Small"/>
  </r>
  <r>
    <n v="158"/>
    <n v="2021"/>
    <x v="2"/>
    <x v="0"/>
    <x v="29"/>
    <n v="120000"/>
    <s v="USD"/>
    <n v="120000"/>
    <s v="US"/>
    <x v="0"/>
    <s v="US"/>
    <s v="Medium"/>
  </r>
  <r>
    <n v="209"/>
    <n v="2021"/>
    <x v="2"/>
    <x v="0"/>
    <x v="29"/>
    <n v="120000"/>
    <s v="USD"/>
    <n v="120000"/>
    <s v="US"/>
    <x v="1"/>
    <s v="US"/>
    <s v="Large"/>
  </r>
  <r>
    <n v="324"/>
    <n v="2022"/>
    <x v="2"/>
    <x v="0"/>
    <x v="5"/>
    <n v="120000"/>
    <s v="USD"/>
    <n v="120000"/>
    <s v="US"/>
    <x v="1"/>
    <s v="US"/>
    <s v="Large"/>
  </r>
  <r>
    <n v="391"/>
    <n v="2022"/>
    <x v="1"/>
    <x v="0"/>
    <x v="21"/>
    <n v="120000"/>
    <s v="USD"/>
    <n v="120000"/>
    <s v="US"/>
    <x v="1"/>
    <s v="US"/>
    <s v="Medium"/>
  </r>
  <r>
    <n v="453"/>
    <n v="2022"/>
    <x v="1"/>
    <x v="0"/>
    <x v="13"/>
    <n v="120000"/>
    <s v="USD"/>
    <n v="120000"/>
    <s v="US"/>
    <x v="0"/>
    <s v="US"/>
    <s v="Small"/>
  </r>
  <r>
    <n v="479"/>
    <n v="2022"/>
    <x v="1"/>
    <x v="0"/>
    <x v="5"/>
    <n v="120000"/>
    <s v="USD"/>
    <n v="120000"/>
    <s v="US"/>
    <x v="0"/>
    <s v="US"/>
    <s v="Medium"/>
  </r>
  <r>
    <n v="465"/>
    <n v="2022"/>
    <x v="3"/>
    <x v="0"/>
    <x v="9"/>
    <n v="120000"/>
    <s v="USD"/>
    <n v="120000"/>
    <s v="US"/>
    <x v="0"/>
    <s v="US"/>
    <s v="Medium"/>
  </r>
  <r>
    <n v="485"/>
    <n v="2022"/>
    <x v="2"/>
    <x v="0"/>
    <x v="13"/>
    <n v="120000"/>
    <s v="USD"/>
    <n v="120000"/>
    <s v="US"/>
    <x v="0"/>
    <s v="US"/>
    <s v="Medium"/>
  </r>
  <r>
    <n v="508"/>
    <n v="2022"/>
    <x v="3"/>
    <x v="0"/>
    <x v="1"/>
    <n v="120000"/>
    <s v="USD"/>
    <n v="120000"/>
    <s v="US"/>
    <x v="0"/>
    <s v="US"/>
    <s v="Large"/>
  </r>
  <r>
    <n v="57"/>
    <n v="2020"/>
    <x v="1"/>
    <x v="0"/>
    <x v="5"/>
    <n v="118000"/>
    <s v="USD"/>
    <n v="118000"/>
    <s v="US"/>
    <x v="0"/>
    <s v="US"/>
    <s v="Medium"/>
  </r>
  <r>
    <n v="564"/>
    <n v="2022"/>
    <x v="2"/>
    <x v="0"/>
    <x v="20"/>
    <n v="116150"/>
    <s v="USD"/>
    <n v="116150"/>
    <s v="US"/>
    <x v="0"/>
    <s v="US"/>
    <s v="Medium"/>
  </r>
  <r>
    <n v="306"/>
    <n v="2022"/>
    <x v="2"/>
    <x v="0"/>
    <x v="20"/>
    <n v="116000"/>
    <s v="USD"/>
    <n v="116000"/>
    <s v="US"/>
    <x v="1"/>
    <s v="US"/>
    <s v="Medium"/>
  </r>
  <r>
    <n v="402"/>
    <n v="2022"/>
    <x v="2"/>
    <x v="0"/>
    <x v="20"/>
    <n v="115934"/>
    <s v="USD"/>
    <n v="115934"/>
    <s v="US"/>
    <x v="1"/>
    <s v="US"/>
    <s v="Medium"/>
  </r>
  <r>
    <n v="540"/>
    <n v="2022"/>
    <x v="2"/>
    <x v="0"/>
    <x v="20"/>
    <n v="115934"/>
    <s v="USD"/>
    <n v="115934"/>
    <s v="US"/>
    <x v="0"/>
    <s v="US"/>
    <s v="Medium"/>
  </r>
  <r>
    <n v="329"/>
    <n v="2022"/>
    <x v="1"/>
    <x v="0"/>
    <x v="20"/>
    <n v="115500"/>
    <s v="USD"/>
    <n v="115500"/>
    <s v="US"/>
    <x v="0"/>
    <s v="US"/>
    <s v="Medium"/>
  </r>
  <r>
    <n v="107"/>
    <n v="2021"/>
    <x v="2"/>
    <x v="0"/>
    <x v="9"/>
    <n v="115000"/>
    <s v="USD"/>
    <n v="115000"/>
    <s v="US"/>
    <x v="0"/>
    <s v="US"/>
    <s v="Small"/>
  </r>
  <r>
    <n v="250"/>
    <n v="2021"/>
    <x v="1"/>
    <x v="0"/>
    <x v="5"/>
    <n v="115000"/>
    <s v="USD"/>
    <n v="115000"/>
    <s v="US"/>
    <x v="2"/>
    <s v="US"/>
    <s v="Large"/>
  </r>
  <r>
    <n v="504"/>
    <n v="2022"/>
    <x v="2"/>
    <x v="0"/>
    <x v="9"/>
    <n v="115000"/>
    <s v="USD"/>
    <n v="115000"/>
    <s v="US"/>
    <x v="0"/>
    <s v="US"/>
    <s v="Medium"/>
  </r>
  <r>
    <n v="545"/>
    <n v="2022"/>
    <x v="2"/>
    <x v="0"/>
    <x v="9"/>
    <n v="115000"/>
    <s v="USD"/>
    <n v="115000"/>
    <s v="US"/>
    <x v="0"/>
    <s v="US"/>
    <s v="Medium"/>
  </r>
  <r>
    <n v="348"/>
    <n v="2022"/>
    <x v="2"/>
    <x v="0"/>
    <x v="9"/>
    <n v="113000"/>
    <s v="USD"/>
    <n v="113000"/>
    <s v="US"/>
    <x v="1"/>
    <s v="US"/>
    <s v="Large"/>
  </r>
  <r>
    <n v="330"/>
    <n v="2022"/>
    <x v="2"/>
    <x v="0"/>
    <x v="20"/>
    <n v="112900"/>
    <s v="USD"/>
    <n v="112900"/>
    <s v="US"/>
    <x v="0"/>
    <s v="US"/>
    <s v="Medium"/>
  </r>
  <r>
    <n v="332"/>
    <n v="2022"/>
    <x v="2"/>
    <x v="0"/>
    <x v="20"/>
    <n v="112900"/>
    <s v="USD"/>
    <n v="112900"/>
    <s v="US"/>
    <x v="0"/>
    <s v="US"/>
    <s v="Medium"/>
  </r>
  <r>
    <n v="392"/>
    <n v="2022"/>
    <x v="2"/>
    <x v="0"/>
    <x v="20"/>
    <n v="112900"/>
    <s v="USD"/>
    <n v="112900"/>
    <s v="US"/>
    <x v="0"/>
    <s v="US"/>
    <s v="Medium"/>
  </r>
  <r>
    <n v="536"/>
    <n v="2022"/>
    <x v="2"/>
    <x v="0"/>
    <x v="20"/>
    <n v="112900"/>
    <s v="USD"/>
    <n v="112900"/>
    <s v="US"/>
    <x v="0"/>
    <s v="US"/>
    <s v="Medium"/>
  </r>
  <r>
    <n v="420"/>
    <n v="2022"/>
    <x v="1"/>
    <x v="0"/>
    <x v="16"/>
    <n v="112300"/>
    <s v="USD"/>
    <n v="112300"/>
    <s v="US"/>
    <x v="0"/>
    <s v="US"/>
    <s v="Large"/>
  </r>
  <r>
    <n v="280"/>
    <n v="2021"/>
    <x v="1"/>
    <x v="0"/>
    <x v="9"/>
    <n v="112000"/>
    <s v="USD"/>
    <n v="112000"/>
    <s v="US"/>
    <x v="0"/>
    <s v="US"/>
    <s v="Large"/>
  </r>
  <r>
    <n v="267"/>
    <n v="2021"/>
    <x v="1"/>
    <x v="0"/>
    <x v="9"/>
    <n v="111775"/>
    <s v="USD"/>
    <n v="111775"/>
    <s v="US"/>
    <x v="1"/>
    <s v="US"/>
    <s v="Medium"/>
  </r>
  <r>
    <n v="585"/>
    <n v="2022"/>
    <x v="2"/>
    <x v="0"/>
    <x v="20"/>
    <n v="110925"/>
    <s v="USD"/>
    <n v="110925"/>
    <s v="US"/>
    <x v="0"/>
    <s v="US"/>
    <s v="Medium"/>
  </r>
  <r>
    <n v="546"/>
    <n v="2022"/>
    <x v="2"/>
    <x v="0"/>
    <x v="9"/>
    <n v="110500"/>
    <s v="USD"/>
    <n v="110500"/>
    <s v="US"/>
    <x v="0"/>
    <s v="US"/>
    <s v="Medium"/>
  </r>
  <r>
    <n v="327"/>
    <n v="2022"/>
    <x v="0"/>
    <x v="0"/>
    <x v="20"/>
    <n v="110000"/>
    <s v="USD"/>
    <n v="110000"/>
    <s v="US"/>
    <x v="0"/>
    <s v="US"/>
    <s v="Medium"/>
  </r>
  <r>
    <n v="60"/>
    <n v="2020"/>
    <x v="1"/>
    <x v="0"/>
    <x v="9"/>
    <n v="110000"/>
    <s v="USD"/>
    <n v="110000"/>
    <s v="US"/>
    <x v="0"/>
    <s v="US"/>
    <s v="Large"/>
  </r>
  <r>
    <n v="87"/>
    <n v="2021"/>
    <x v="1"/>
    <x v="0"/>
    <x v="33"/>
    <n v="110000"/>
    <s v="USD"/>
    <n v="110000"/>
    <s v="US"/>
    <x v="0"/>
    <s v="US"/>
    <s v="Large"/>
  </r>
  <r>
    <n v="235"/>
    <n v="2021"/>
    <x v="1"/>
    <x v="0"/>
    <x v="17"/>
    <n v="110000"/>
    <s v="USD"/>
    <n v="110000"/>
    <s v="US"/>
    <x v="1"/>
    <s v="US"/>
    <s v="Small"/>
  </r>
  <r>
    <n v="242"/>
    <n v="2021"/>
    <x v="1"/>
    <x v="0"/>
    <x v="9"/>
    <n v="110000"/>
    <s v="USD"/>
    <n v="110000"/>
    <s v="US"/>
    <x v="0"/>
    <s v="US"/>
    <s v="Large"/>
  </r>
  <r>
    <n v="339"/>
    <n v="2022"/>
    <x v="2"/>
    <x v="0"/>
    <x v="20"/>
    <n v="109280"/>
    <s v="USD"/>
    <n v="109280"/>
    <s v="US"/>
    <x v="0"/>
    <s v="US"/>
    <s v="Medium"/>
  </r>
  <r>
    <n v="595"/>
    <n v="2022"/>
    <x v="2"/>
    <x v="0"/>
    <x v="29"/>
    <n v="109280"/>
    <s v="USD"/>
    <n v="109280"/>
    <s v="US"/>
    <x v="0"/>
    <s v="US"/>
    <s v="Medium"/>
  </r>
  <r>
    <n v="287"/>
    <n v="2021"/>
    <x v="1"/>
    <x v="0"/>
    <x v="5"/>
    <n v="109000"/>
    <s v="USD"/>
    <n v="109000"/>
    <s v="US"/>
    <x v="2"/>
    <s v="US"/>
    <s v="Large"/>
  </r>
  <r>
    <n v="346"/>
    <n v="2022"/>
    <x v="2"/>
    <x v="0"/>
    <x v="9"/>
    <n v="108800"/>
    <s v="USD"/>
    <n v="108800"/>
    <s v="US"/>
    <x v="1"/>
    <s v="US"/>
    <s v="Medium"/>
  </r>
  <r>
    <n v="307"/>
    <n v="2022"/>
    <x v="1"/>
    <x v="0"/>
    <x v="20"/>
    <n v="106260"/>
    <s v="USD"/>
    <n v="106260"/>
    <s v="US"/>
    <x v="1"/>
    <s v="US"/>
    <s v="Medium"/>
  </r>
  <r>
    <n v="581"/>
    <n v="2022"/>
    <x v="2"/>
    <x v="0"/>
    <x v="20"/>
    <n v="106260"/>
    <s v="USD"/>
    <n v="106260"/>
    <s v="US"/>
    <x v="0"/>
    <s v="US"/>
    <s v="Medium"/>
  </r>
  <r>
    <n v="43"/>
    <n v="2020"/>
    <x v="1"/>
    <x v="0"/>
    <x v="9"/>
    <n v="106000"/>
    <s v="USD"/>
    <n v="106000"/>
    <s v="US"/>
    <x v="0"/>
    <s v="US"/>
    <s v="Large"/>
  </r>
  <r>
    <n v="395"/>
    <n v="2022"/>
    <x v="2"/>
    <x v="0"/>
    <x v="29"/>
    <n v="105400"/>
    <s v="USD"/>
    <n v="105400"/>
    <s v="US"/>
    <x v="0"/>
    <s v="US"/>
    <s v="Medium"/>
  </r>
  <r>
    <n v="68"/>
    <n v="2020"/>
    <x v="3"/>
    <x v="0"/>
    <x v="5"/>
    <n v="105000"/>
    <s v="USD"/>
    <n v="105000"/>
    <s v="US"/>
    <x v="0"/>
    <s v="US"/>
    <s v="Small"/>
  </r>
  <r>
    <n v="283"/>
    <n v="2021"/>
    <x v="2"/>
    <x v="1"/>
    <x v="34"/>
    <n v="105000"/>
    <s v="USD"/>
    <n v="105000"/>
    <s v="US"/>
    <x v="0"/>
    <s v="US"/>
    <s v="Medium"/>
  </r>
  <r>
    <n v="48"/>
    <n v="2020"/>
    <x v="1"/>
    <x v="0"/>
    <x v="5"/>
    <n v="105000"/>
    <s v="USD"/>
    <n v="105000"/>
    <s v="US"/>
    <x v="0"/>
    <s v="US"/>
    <s v="Large"/>
  </r>
  <r>
    <n v="456"/>
    <n v="2022"/>
    <x v="2"/>
    <x v="0"/>
    <x v="9"/>
    <n v="105000"/>
    <s v="USD"/>
    <n v="105000"/>
    <s v="US"/>
    <x v="0"/>
    <s v="US"/>
    <s v="Medium"/>
  </r>
  <r>
    <n v="584"/>
    <n v="2022"/>
    <x v="2"/>
    <x v="0"/>
    <x v="20"/>
    <n v="105000"/>
    <s v="USD"/>
    <n v="105000"/>
    <s v="US"/>
    <x v="0"/>
    <s v="US"/>
    <s v="Medium"/>
  </r>
  <r>
    <n v="467"/>
    <n v="2022"/>
    <x v="2"/>
    <x v="0"/>
    <x v="5"/>
    <n v="104890"/>
    <s v="USD"/>
    <n v="104890"/>
    <s v="US"/>
    <x v="0"/>
    <s v="US"/>
    <s v="Medium"/>
  </r>
  <r>
    <n v="36"/>
    <n v="2020"/>
    <x v="1"/>
    <x v="0"/>
    <x v="35"/>
    <n v="103000"/>
    <s v="USD"/>
    <n v="103000"/>
    <s v="US"/>
    <x v="0"/>
    <s v="US"/>
    <s v="Large"/>
  </r>
  <r>
    <n v="296"/>
    <n v="2022"/>
    <x v="2"/>
    <x v="0"/>
    <x v="20"/>
    <n v="102100"/>
    <s v="USD"/>
    <n v="102100"/>
    <s v="US"/>
    <x v="0"/>
    <s v="US"/>
    <s v="Medium"/>
  </r>
  <r>
    <n v="539"/>
    <n v="2022"/>
    <x v="1"/>
    <x v="0"/>
    <x v="5"/>
    <n v="102100"/>
    <s v="USD"/>
    <n v="102100"/>
    <s v="US"/>
    <x v="1"/>
    <s v="US"/>
    <s v="Medium"/>
  </r>
  <r>
    <n v="381"/>
    <n v="2022"/>
    <x v="2"/>
    <x v="0"/>
    <x v="9"/>
    <n v="101570"/>
    <s v="USD"/>
    <n v="101570"/>
    <s v="US"/>
    <x v="0"/>
    <s v="US"/>
    <s v="Medium"/>
  </r>
  <r>
    <n v="426"/>
    <n v="2022"/>
    <x v="2"/>
    <x v="0"/>
    <x v="9"/>
    <n v="100800"/>
    <s v="USD"/>
    <n v="100800"/>
    <s v="US"/>
    <x v="0"/>
    <s v="US"/>
    <s v="Large"/>
  </r>
  <r>
    <n v="28"/>
    <n v="2020"/>
    <x v="3"/>
    <x v="1"/>
    <x v="31"/>
    <n v="100000"/>
    <s v="USD"/>
    <n v="100000"/>
    <s v="US"/>
    <x v="0"/>
    <s v="US"/>
    <s v="Large"/>
  </r>
  <r>
    <n v="134"/>
    <n v="2021"/>
    <x v="3"/>
    <x v="0"/>
    <x v="5"/>
    <n v="100000"/>
    <s v="USD"/>
    <n v="100000"/>
    <s v="US"/>
    <x v="1"/>
    <s v="US"/>
    <s v="Small"/>
  </r>
  <r>
    <n v="275"/>
    <n v="2021"/>
    <x v="3"/>
    <x v="0"/>
    <x v="5"/>
    <n v="100000"/>
    <s v="USD"/>
    <n v="100000"/>
    <s v="US"/>
    <x v="0"/>
    <s v="US"/>
    <s v="Medium"/>
  </r>
  <r>
    <n v="76"/>
    <n v="2021"/>
    <x v="1"/>
    <x v="0"/>
    <x v="30"/>
    <n v="100000"/>
    <s v="USD"/>
    <n v="100000"/>
    <s v="US"/>
    <x v="0"/>
    <s v="US"/>
    <s v="Medium"/>
  </r>
  <r>
    <n v="144"/>
    <n v="2021"/>
    <x v="1"/>
    <x v="0"/>
    <x v="9"/>
    <n v="100000"/>
    <s v="USD"/>
    <n v="100000"/>
    <s v="US"/>
    <x v="0"/>
    <s v="US"/>
    <s v="Large"/>
  </r>
  <r>
    <n v="488"/>
    <n v="2022"/>
    <x v="1"/>
    <x v="2"/>
    <x v="5"/>
    <n v="100000"/>
    <s v="USD"/>
    <n v="100000"/>
    <s v="CA"/>
    <x v="0"/>
    <s v="US"/>
    <s v="Medium"/>
  </r>
  <r>
    <n v="461"/>
    <n v="2022"/>
    <x v="3"/>
    <x v="0"/>
    <x v="2"/>
    <n v="100000"/>
    <s v="USD"/>
    <n v="100000"/>
    <s v="US"/>
    <x v="2"/>
    <s v="US"/>
    <s v="Large"/>
  </r>
  <r>
    <n v="468"/>
    <n v="2022"/>
    <x v="2"/>
    <x v="0"/>
    <x v="9"/>
    <n v="100000"/>
    <s v="USD"/>
    <n v="100000"/>
    <s v="US"/>
    <x v="0"/>
    <s v="US"/>
    <s v="Medium"/>
  </r>
  <r>
    <n v="494"/>
    <n v="2022"/>
    <x v="2"/>
    <x v="0"/>
    <x v="5"/>
    <n v="100000"/>
    <s v="USD"/>
    <n v="100000"/>
    <s v="BR"/>
    <x v="0"/>
    <s v="US"/>
    <s v="Medium"/>
  </r>
  <r>
    <n v="528"/>
    <n v="2022"/>
    <x v="2"/>
    <x v="0"/>
    <x v="20"/>
    <n v="100000"/>
    <s v="USD"/>
    <n v="100000"/>
    <s v="US"/>
    <x v="0"/>
    <s v="US"/>
    <s v="Medium"/>
  </r>
  <r>
    <n v="572"/>
    <n v="2022"/>
    <x v="2"/>
    <x v="0"/>
    <x v="20"/>
    <n v="100000"/>
    <s v="USD"/>
    <n v="100000"/>
    <s v="US"/>
    <x v="0"/>
    <s v="US"/>
    <s v="Medium"/>
  </r>
  <r>
    <n v="578"/>
    <n v="2022"/>
    <x v="2"/>
    <x v="0"/>
    <x v="9"/>
    <n v="100000"/>
    <s v="USD"/>
    <n v="100000"/>
    <s v="US"/>
    <x v="0"/>
    <s v="US"/>
    <s v="Medium"/>
  </r>
  <r>
    <n v="299"/>
    <n v="2022"/>
    <x v="2"/>
    <x v="0"/>
    <x v="5"/>
    <n v="99360"/>
    <s v="USD"/>
    <n v="99360"/>
    <s v="US"/>
    <x v="0"/>
    <s v="US"/>
    <s v="Medium"/>
  </r>
  <r>
    <n v="543"/>
    <n v="2022"/>
    <x v="1"/>
    <x v="0"/>
    <x v="9"/>
    <n v="99100"/>
    <s v="USD"/>
    <n v="99100"/>
    <s v="US"/>
    <x v="1"/>
    <s v="US"/>
    <s v="Medium"/>
  </r>
  <r>
    <n v="548"/>
    <n v="2022"/>
    <x v="2"/>
    <x v="0"/>
    <x v="20"/>
    <n v="99050"/>
    <s v="USD"/>
    <n v="99050"/>
    <s v="US"/>
    <x v="0"/>
    <s v="US"/>
    <s v="Medium"/>
  </r>
  <r>
    <n v="305"/>
    <n v="2022"/>
    <x v="2"/>
    <x v="0"/>
    <x v="20"/>
    <n v="99000"/>
    <s v="USD"/>
    <n v="99000"/>
    <s v="US"/>
    <x v="1"/>
    <s v="US"/>
    <s v="Medium"/>
  </r>
  <r>
    <n v="588"/>
    <n v="2022"/>
    <x v="2"/>
    <x v="0"/>
    <x v="20"/>
    <n v="99000"/>
    <s v="USD"/>
    <n v="99000"/>
    <s v="US"/>
    <x v="1"/>
    <s v="US"/>
    <s v="Medium"/>
  </r>
  <r>
    <n v="23"/>
    <n v="2020"/>
    <x v="1"/>
    <x v="0"/>
    <x v="30"/>
    <n v="98000"/>
    <s v="USD"/>
    <n v="98000"/>
    <s v="US"/>
    <x v="1"/>
    <s v="US"/>
    <s v="Medium"/>
  </r>
  <r>
    <n v="99"/>
    <n v="2021"/>
    <x v="1"/>
    <x v="0"/>
    <x v="36"/>
    <n v="81000"/>
    <s v="EUR"/>
    <n v="95746"/>
    <s v="DE"/>
    <x v="0"/>
    <s v="US"/>
    <s v="Small"/>
  </r>
  <r>
    <n v="347"/>
    <n v="2022"/>
    <x v="2"/>
    <x v="0"/>
    <x v="5"/>
    <n v="95550"/>
    <s v="USD"/>
    <n v="95550"/>
    <s v="US"/>
    <x v="1"/>
    <s v="US"/>
    <s v="Medium"/>
  </r>
  <r>
    <n v="341"/>
    <n v="2022"/>
    <x v="2"/>
    <x v="0"/>
    <x v="9"/>
    <n v="93700"/>
    <s v="USD"/>
    <n v="93700"/>
    <s v="US"/>
    <x v="0"/>
    <s v="US"/>
    <s v="Medium"/>
  </r>
  <r>
    <n v="383"/>
    <n v="2022"/>
    <x v="2"/>
    <x v="0"/>
    <x v="20"/>
    <n v="93700"/>
    <s v="USD"/>
    <n v="93700"/>
    <s v="US"/>
    <x v="0"/>
    <s v="US"/>
    <s v="Medium"/>
  </r>
  <r>
    <n v="266"/>
    <n v="2021"/>
    <x v="1"/>
    <x v="0"/>
    <x v="9"/>
    <n v="93150"/>
    <s v="USD"/>
    <n v="93150"/>
    <s v="US"/>
    <x v="1"/>
    <s v="US"/>
    <s v="Medium"/>
  </r>
  <r>
    <n v="254"/>
    <n v="2021"/>
    <x v="1"/>
    <x v="0"/>
    <x v="20"/>
    <n v="93000"/>
    <s v="USD"/>
    <n v="93000"/>
    <s v="US"/>
    <x v="0"/>
    <s v="US"/>
    <s v="Large"/>
  </r>
  <r>
    <n v="51"/>
    <n v="2020"/>
    <x v="3"/>
    <x v="0"/>
    <x v="20"/>
    <n v="91000"/>
    <s v="USD"/>
    <n v="91000"/>
    <s v="US"/>
    <x v="0"/>
    <s v="US"/>
    <s v="Large"/>
  </r>
  <r>
    <n v="318"/>
    <n v="2022"/>
    <x v="2"/>
    <x v="0"/>
    <x v="20"/>
    <n v="90320"/>
    <s v="USD"/>
    <n v="90320"/>
    <s v="US"/>
    <x v="0"/>
    <s v="US"/>
    <s v="Medium"/>
  </r>
  <r>
    <n v="331"/>
    <n v="2022"/>
    <x v="2"/>
    <x v="0"/>
    <x v="20"/>
    <n v="90320"/>
    <s v="USD"/>
    <n v="90320"/>
    <s v="US"/>
    <x v="0"/>
    <s v="US"/>
    <s v="Medium"/>
  </r>
  <r>
    <n v="333"/>
    <n v="2022"/>
    <x v="2"/>
    <x v="0"/>
    <x v="20"/>
    <n v="90320"/>
    <s v="USD"/>
    <n v="90320"/>
    <s v="US"/>
    <x v="0"/>
    <s v="US"/>
    <s v="Medium"/>
  </r>
  <r>
    <n v="393"/>
    <n v="2022"/>
    <x v="2"/>
    <x v="0"/>
    <x v="20"/>
    <n v="90320"/>
    <s v="USD"/>
    <n v="90320"/>
    <s v="US"/>
    <x v="0"/>
    <s v="US"/>
    <s v="Medium"/>
  </r>
  <r>
    <n v="529"/>
    <n v="2022"/>
    <x v="2"/>
    <x v="0"/>
    <x v="20"/>
    <n v="90320"/>
    <s v="USD"/>
    <n v="90320"/>
    <s v="US"/>
    <x v="0"/>
    <s v="US"/>
    <s v="Medium"/>
  </r>
  <r>
    <n v="118"/>
    <n v="2021"/>
    <x v="3"/>
    <x v="0"/>
    <x v="20"/>
    <n v="90000"/>
    <s v="USD"/>
    <n v="90000"/>
    <s v="US"/>
    <x v="0"/>
    <s v="US"/>
    <s v="Small"/>
  </r>
  <r>
    <n v="199"/>
    <n v="2021"/>
    <x v="3"/>
    <x v="0"/>
    <x v="35"/>
    <n v="90000"/>
    <s v="USD"/>
    <n v="90000"/>
    <s v="US"/>
    <x v="0"/>
    <s v="US"/>
    <s v="Small"/>
  </r>
  <r>
    <n v="251"/>
    <n v="2021"/>
    <x v="3"/>
    <x v="0"/>
    <x v="5"/>
    <n v="90000"/>
    <s v="USD"/>
    <n v="90000"/>
    <s v="US"/>
    <x v="0"/>
    <s v="US"/>
    <s v="Small"/>
  </r>
  <r>
    <n v="135"/>
    <n v="2021"/>
    <x v="1"/>
    <x v="0"/>
    <x v="20"/>
    <n v="90000"/>
    <s v="USD"/>
    <n v="90000"/>
    <s v="US"/>
    <x v="0"/>
    <s v="US"/>
    <s v="Medium"/>
  </r>
  <r>
    <n v="147"/>
    <n v="2021"/>
    <x v="1"/>
    <x v="0"/>
    <x v="9"/>
    <n v="90000"/>
    <s v="USD"/>
    <n v="90000"/>
    <s v="US"/>
    <x v="0"/>
    <s v="US"/>
    <s v="Large"/>
  </r>
  <r>
    <n v="293"/>
    <n v="2022"/>
    <x v="1"/>
    <x v="0"/>
    <x v="5"/>
    <n v="90000"/>
    <s v="USD"/>
    <n v="90000"/>
    <s v="US"/>
    <x v="1"/>
    <s v="US"/>
    <s v="Medium"/>
  </r>
  <r>
    <n v="13"/>
    <n v="2020"/>
    <x v="1"/>
    <x v="0"/>
    <x v="25"/>
    <n v="87000"/>
    <s v="USD"/>
    <n v="87000"/>
    <s v="US"/>
    <x v="0"/>
    <s v="US"/>
    <s v="Large"/>
  </r>
  <r>
    <n v="14"/>
    <n v="2020"/>
    <x v="1"/>
    <x v="0"/>
    <x v="20"/>
    <n v="85000"/>
    <s v="USD"/>
    <n v="85000"/>
    <s v="US"/>
    <x v="0"/>
    <s v="US"/>
    <s v="Large"/>
  </r>
  <r>
    <n v="297"/>
    <n v="2022"/>
    <x v="2"/>
    <x v="0"/>
    <x v="20"/>
    <n v="84900"/>
    <s v="USD"/>
    <n v="84900"/>
    <s v="US"/>
    <x v="0"/>
    <s v="US"/>
    <s v="Medium"/>
  </r>
  <r>
    <n v="425"/>
    <n v="2022"/>
    <x v="1"/>
    <x v="0"/>
    <x v="9"/>
    <n v="82900"/>
    <s v="USD"/>
    <n v="82900"/>
    <s v="US"/>
    <x v="1"/>
    <s v="US"/>
    <s v="Medium"/>
  </r>
  <r>
    <n v="143"/>
    <n v="2021"/>
    <x v="1"/>
    <x v="0"/>
    <x v="5"/>
    <n v="82500"/>
    <s v="USD"/>
    <n v="82500"/>
    <s v="US"/>
    <x v="0"/>
    <s v="US"/>
    <s v="Small"/>
  </r>
  <r>
    <n v="403"/>
    <n v="2022"/>
    <x v="2"/>
    <x v="0"/>
    <x v="20"/>
    <n v="81666"/>
    <s v="USD"/>
    <n v="81666"/>
    <s v="US"/>
    <x v="1"/>
    <s v="US"/>
    <s v="Medium"/>
  </r>
  <r>
    <n v="541"/>
    <n v="2022"/>
    <x v="2"/>
    <x v="0"/>
    <x v="20"/>
    <n v="81666"/>
    <s v="USD"/>
    <n v="81666"/>
    <s v="US"/>
    <x v="0"/>
    <s v="US"/>
    <s v="Medium"/>
  </r>
  <r>
    <n v="178"/>
    <n v="2021"/>
    <x v="3"/>
    <x v="0"/>
    <x v="13"/>
    <n v="81000"/>
    <s v="USD"/>
    <n v="81000"/>
    <s v="US"/>
    <x v="2"/>
    <s v="US"/>
    <s v="Small"/>
  </r>
  <r>
    <n v="79"/>
    <n v="2021"/>
    <x v="3"/>
    <x v="0"/>
    <x v="20"/>
    <n v="80000"/>
    <s v="USD"/>
    <n v="80000"/>
    <s v="US"/>
    <x v="0"/>
    <s v="US"/>
    <s v="Medium"/>
  </r>
  <r>
    <n v="89"/>
    <n v="2021"/>
    <x v="2"/>
    <x v="0"/>
    <x v="20"/>
    <n v="80000"/>
    <s v="USD"/>
    <n v="80000"/>
    <s v="BG"/>
    <x v="0"/>
    <s v="US"/>
    <s v="Small"/>
  </r>
  <r>
    <n v="139"/>
    <n v="2021"/>
    <x v="3"/>
    <x v="0"/>
    <x v="5"/>
    <n v="80000"/>
    <s v="USD"/>
    <n v="80000"/>
    <s v="US"/>
    <x v="0"/>
    <s v="US"/>
    <s v="Medium"/>
  </r>
  <r>
    <n v="166"/>
    <n v="2021"/>
    <x v="3"/>
    <x v="0"/>
    <x v="9"/>
    <n v="80000"/>
    <s v="USD"/>
    <n v="80000"/>
    <s v="US"/>
    <x v="0"/>
    <s v="US"/>
    <s v="Large"/>
  </r>
  <r>
    <n v="241"/>
    <n v="2021"/>
    <x v="1"/>
    <x v="0"/>
    <x v="20"/>
    <n v="80000"/>
    <s v="USD"/>
    <n v="80000"/>
    <s v="US"/>
    <x v="0"/>
    <s v="US"/>
    <s v="Large"/>
  </r>
  <r>
    <n v="424"/>
    <n v="2022"/>
    <x v="2"/>
    <x v="0"/>
    <x v="5"/>
    <n v="80000"/>
    <s v="USD"/>
    <n v="80000"/>
    <s v="US"/>
    <x v="1"/>
    <s v="US"/>
    <s v="Medium"/>
  </r>
  <r>
    <n v="450"/>
    <n v="2022"/>
    <x v="2"/>
    <x v="0"/>
    <x v="9"/>
    <n v="80000"/>
    <s v="USD"/>
    <n v="80000"/>
    <s v="US"/>
    <x v="0"/>
    <s v="US"/>
    <s v="Medium"/>
  </r>
  <r>
    <n v="568"/>
    <n v="2022"/>
    <x v="2"/>
    <x v="0"/>
    <x v="20"/>
    <n v="80000"/>
    <s v="USD"/>
    <n v="80000"/>
    <s v="US"/>
    <x v="0"/>
    <s v="US"/>
    <s v="Medium"/>
  </r>
  <r>
    <n v="526"/>
    <n v="2022"/>
    <x v="1"/>
    <x v="0"/>
    <x v="5"/>
    <n v="78000"/>
    <s v="USD"/>
    <n v="78000"/>
    <s v="US"/>
    <x v="0"/>
    <s v="US"/>
    <s v="Medium"/>
  </r>
  <r>
    <n v="100"/>
    <n v="2021"/>
    <x v="1"/>
    <x v="0"/>
    <x v="20"/>
    <n v="75000"/>
    <s v="USD"/>
    <n v="75000"/>
    <s v="US"/>
    <x v="1"/>
    <s v="US"/>
    <s v="Large"/>
  </r>
  <r>
    <n v="506"/>
    <n v="2022"/>
    <x v="1"/>
    <x v="0"/>
    <x v="3"/>
    <n v="75000"/>
    <s v="USD"/>
    <n v="75000"/>
    <s v="BO"/>
    <x v="0"/>
    <s v="US"/>
    <s v="Large"/>
  </r>
  <r>
    <n v="104"/>
    <n v="2021"/>
    <x v="1"/>
    <x v="0"/>
    <x v="5"/>
    <n v="73000"/>
    <s v="USD"/>
    <n v="73000"/>
    <s v="US"/>
    <x v="1"/>
    <s v="US"/>
    <s v="Large"/>
  </r>
  <r>
    <n v="270"/>
    <n v="2021"/>
    <x v="3"/>
    <x v="0"/>
    <x v="9"/>
    <n v="72500"/>
    <s v="USD"/>
    <n v="72500"/>
    <s v="US"/>
    <x v="0"/>
    <s v="US"/>
    <s v="Large"/>
  </r>
  <r>
    <n v="5"/>
    <n v="2020"/>
    <x v="3"/>
    <x v="0"/>
    <x v="20"/>
    <n v="72000"/>
    <s v="USD"/>
    <n v="72000"/>
    <s v="US"/>
    <x v="0"/>
    <s v="US"/>
    <s v="Large"/>
  </r>
  <r>
    <n v="557"/>
    <n v="2022"/>
    <x v="2"/>
    <x v="0"/>
    <x v="9"/>
    <n v="70500"/>
    <s v="USD"/>
    <n v="70500"/>
    <s v="US"/>
    <x v="1"/>
    <s v="US"/>
    <s v="Medium"/>
  </r>
  <r>
    <n v="31"/>
    <n v="2020"/>
    <x v="3"/>
    <x v="0"/>
    <x v="37"/>
    <n v="70000"/>
    <s v="USD"/>
    <n v="70000"/>
    <s v="US"/>
    <x v="0"/>
    <s v="US"/>
    <s v="Large"/>
  </r>
  <r>
    <n v="98"/>
    <n v="2021"/>
    <x v="3"/>
    <x v="0"/>
    <x v="36"/>
    <n v="70000"/>
    <s v="USD"/>
    <n v="70000"/>
    <s v="US"/>
    <x v="0"/>
    <s v="US"/>
    <s v="Medium"/>
  </r>
  <r>
    <n v="573"/>
    <n v="2022"/>
    <x v="2"/>
    <x v="0"/>
    <x v="20"/>
    <n v="69000"/>
    <s v="USD"/>
    <n v="69000"/>
    <s v="US"/>
    <x v="0"/>
    <s v="US"/>
    <s v="Medium"/>
  </r>
  <r>
    <n v="32"/>
    <n v="2020"/>
    <x v="2"/>
    <x v="0"/>
    <x v="5"/>
    <n v="60000"/>
    <s v="EUR"/>
    <n v="68428"/>
    <s v="GR"/>
    <x v="0"/>
    <s v="US"/>
    <s v="Large"/>
  </r>
  <r>
    <n v="512"/>
    <n v="2022"/>
    <x v="3"/>
    <x v="0"/>
    <x v="9"/>
    <n v="65000"/>
    <s v="USD"/>
    <n v="65000"/>
    <s v="US"/>
    <x v="0"/>
    <s v="US"/>
    <s v="Small"/>
  </r>
  <r>
    <n v="418"/>
    <n v="2022"/>
    <x v="1"/>
    <x v="0"/>
    <x v="9"/>
    <n v="63900"/>
    <s v="USD"/>
    <n v="63900"/>
    <s v="US"/>
    <x v="1"/>
    <s v="US"/>
    <s v="Medium"/>
  </r>
  <r>
    <n v="103"/>
    <n v="2021"/>
    <x v="1"/>
    <x v="0"/>
    <x v="20"/>
    <n v="62000"/>
    <s v="USD"/>
    <n v="62000"/>
    <s v="US"/>
    <x v="1"/>
    <s v="US"/>
    <s v="Large"/>
  </r>
  <r>
    <n v="54"/>
    <n v="2020"/>
    <x v="2"/>
    <x v="2"/>
    <x v="32"/>
    <n v="60000"/>
    <s v="USD"/>
    <n v="60000"/>
    <s v="RU"/>
    <x v="0"/>
    <s v="US"/>
    <s v="Small"/>
  </r>
  <r>
    <n v="172"/>
    <n v="2021"/>
    <x v="3"/>
    <x v="0"/>
    <x v="20"/>
    <n v="60000"/>
    <s v="USD"/>
    <n v="60000"/>
    <s v="US"/>
    <x v="0"/>
    <s v="US"/>
    <s v="Small"/>
  </r>
  <r>
    <n v="589"/>
    <n v="2022"/>
    <x v="2"/>
    <x v="0"/>
    <x v="20"/>
    <n v="60000"/>
    <s v="USD"/>
    <n v="60000"/>
    <s v="US"/>
    <x v="0"/>
    <s v="US"/>
    <s v="Medium"/>
  </r>
  <r>
    <n v="367"/>
    <n v="2022"/>
    <x v="1"/>
    <x v="0"/>
    <x v="20"/>
    <n v="58000"/>
    <s v="USD"/>
    <n v="58000"/>
    <s v="US"/>
    <x v="1"/>
    <s v="US"/>
    <s v="Small"/>
  </r>
  <r>
    <n v="406"/>
    <n v="2022"/>
    <x v="1"/>
    <x v="0"/>
    <x v="20"/>
    <n v="58000"/>
    <s v="USD"/>
    <n v="58000"/>
    <s v="US"/>
    <x v="1"/>
    <s v="US"/>
    <s v="Small"/>
  </r>
  <r>
    <n v="276"/>
    <n v="2021"/>
    <x v="3"/>
    <x v="0"/>
    <x v="5"/>
    <n v="58000"/>
    <s v="USD"/>
    <n v="58000"/>
    <s v="US"/>
    <x v="2"/>
    <s v="US"/>
    <s v="Large"/>
  </r>
  <r>
    <n v="19"/>
    <n v="2020"/>
    <x v="1"/>
    <x v="0"/>
    <x v="10"/>
    <n v="56000"/>
    <s v="USD"/>
    <n v="56000"/>
    <s v="PT"/>
    <x v="0"/>
    <s v="US"/>
    <s v="Medium"/>
  </r>
  <r>
    <n v="168"/>
    <n v="2021"/>
    <x v="3"/>
    <x v="0"/>
    <x v="30"/>
    <n v="55000"/>
    <s v="USD"/>
    <n v="55000"/>
    <s v="US"/>
    <x v="2"/>
    <s v="US"/>
    <s v="Small"/>
  </r>
  <r>
    <n v="198"/>
    <n v="2021"/>
    <x v="2"/>
    <x v="0"/>
    <x v="14"/>
    <n v="4000000"/>
    <s v="INR"/>
    <n v="54094"/>
    <s v="IN"/>
    <x v="2"/>
    <s v="US"/>
    <s v="Large"/>
  </r>
  <r>
    <n v="565"/>
    <n v="2022"/>
    <x v="2"/>
    <x v="0"/>
    <x v="9"/>
    <n v="54000"/>
    <s v="USD"/>
    <n v="54000"/>
    <s v="US"/>
    <x v="1"/>
    <s v="US"/>
    <s v="Medium"/>
  </r>
  <r>
    <n v="122"/>
    <n v="2021"/>
    <x v="3"/>
    <x v="0"/>
    <x v="20"/>
    <n v="50000"/>
    <s v="USD"/>
    <n v="50000"/>
    <s v="US"/>
    <x v="0"/>
    <s v="US"/>
    <s v="Medium"/>
  </r>
  <r>
    <n v="471"/>
    <n v="2022"/>
    <x v="1"/>
    <x v="0"/>
    <x v="20"/>
    <n v="50000"/>
    <s v="USD"/>
    <n v="50000"/>
    <s v="US"/>
    <x v="0"/>
    <s v="US"/>
    <s v="Medium"/>
  </r>
  <r>
    <n v="203"/>
    <n v="2021"/>
    <x v="2"/>
    <x v="0"/>
    <x v="1"/>
    <n v="50000"/>
    <s v="USD"/>
    <n v="50000"/>
    <s v="FR"/>
    <x v="0"/>
    <s v="US"/>
    <s v="Small"/>
  </r>
  <r>
    <n v="515"/>
    <n v="2022"/>
    <x v="1"/>
    <x v="0"/>
    <x v="5"/>
    <n v="48000"/>
    <s v="USD"/>
    <n v="48000"/>
    <s v="RU"/>
    <x v="0"/>
    <s v="US"/>
    <s v="Small"/>
  </r>
  <r>
    <n v="40"/>
    <n v="2020"/>
    <x v="1"/>
    <x v="0"/>
    <x v="5"/>
    <n v="45760"/>
    <s v="USD"/>
    <n v="45760"/>
    <s v="PH"/>
    <x v="0"/>
    <s v="US"/>
    <s v="Small"/>
  </r>
  <r>
    <n v="132"/>
    <n v="2021"/>
    <x v="1"/>
    <x v="0"/>
    <x v="3"/>
    <n v="38400"/>
    <s v="USD"/>
    <n v="38400"/>
    <s v="VN"/>
    <x v="0"/>
    <s v="US"/>
    <s v="Medium"/>
  </r>
  <r>
    <n v="455"/>
    <n v="2022"/>
    <x v="1"/>
    <x v="0"/>
    <x v="38"/>
    <n v="240000"/>
    <s v="CNY"/>
    <n v="37236"/>
    <s v="US"/>
    <x v="2"/>
    <s v="US"/>
    <s v="Large"/>
  </r>
  <r>
    <n v="102"/>
    <n v="2021"/>
    <x v="1"/>
    <x v="0"/>
    <x v="30"/>
    <n v="11000000"/>
    <s v="HUF"/>
    <n v="36259"/>
    <s v="HU"/>
    <x v="2"/>
    <s v="US"/>
    <s v="Large"/>
  </r>
  <r>
    <n v="182"/>
    <n v="2021"/>
    <x v="1"/>
    <x v="0"/>
    <x v="9"/>
    <n v="22000"/>
    <s v="EUR"/>
    <n v="26005"/>
    <s v="RO"/>
    <x v="1"/>
    <s v="US"/>
    <s v="Large"/>
  </r>
  <r>
    <n v="579"/>
    <n v="2022"/>
    <x v="2"/>
    <x v="0"/>
    <x v="9"/>
    <n v="25000"/>
    <s v="USD"/>
    <n v="25000"/>
    <s v="US"/>
    <x v="0"/>
    <s v="US"/>
    <s v="Medium"/>
  </r>
  <r>
    <n v="208"/>
    <n v="2021"/>
    <x v="1"/>
    <x v="2"/>
    <x v="9"/>
    <n v="20000"/>
    <s v="USD"/>
    <n v="20000"/>
    <s v="IT"/>
    <x v="1"/>
    <s v="US"/>
    <s v="Large"/>
  </r>
  <r>
    <n v="96"/>
    <n v="2021"/>
    <x v="3"/>
    <x v="3"/>
    <x v="21"/>
    <n v="12000"/>
    <s v="USD"/>
    <n v="12000"/>
    <s v="BR"/>
    <x v="0"/>
    <s v="US"/>
    <s v="Small"/>
  </r>
  <r>
    <n v="113"/>
    <n v="2021"/>
    <x v="3"/>
    <x v="3"/>
    <x v="21"/>
    <n v="12000"/>
    <s v="USD"/>
    <n v="12000"/>
    <s v="PK"/>
    <x v="0"/>
    <s v="US"/>
    <s v="Medium"/>
  </r>
  <r>
    <n v="179"/>
    <n v="2021"/>
    <x v="1"/>
    <x v="0"/>
    <x v="5"/>
    <n v="420000"/>
    <s v="INR"/>
    <n v="5679"/>
    <s v="IN"/>
    <x v="0"/>
    <s v="US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81:B120" firstHeaderRow="1" firstDataRow="1" firstDataCol="1"/>
  <pivotFields count="12">
    <pivotField showAll="0"/>
    <pivotField showAll="0"/>
    <pivotField showAll="0"/>
    <pivotField showAll="0"/>
    <pivotField axis="axisRow" showAll="0" sortType="ascending">
      <items count="40">
        <item x="21"/>
        <item x="18"/>
        <item x="7"/>
        <item x="3"/>
        <item x="30"/>
        <item x="37"/>
        <item x="31"/>
        <item x="28"/>
        <item x="32"/>
        <item x="36"/>
        <item x="20"/>
        <item x="33"/>
        <item x="6"/>
        <item x="29"/>
        <item x="12"/>
        <item x="9"/>
        <item x="24"/>
        <item x="35"/>
        <item x="14"/>
        <item x="5"/>
        <item x="27"/>
        <item x="19"/>
        <item x="8"/>
        <item x="2"/>
        <item x="15"/>
        <item x="17"/>
        <item x="25"/>
        <item x="10"/>
        <item x="23"/>
        <item x="13"/>
        <item x="22"/>
        <item x="16"/>
        <item x="11"/>
        <item x="38"/>
        <item x="26"/>
        <item x="0"/>
        <item x="4"/>
        <item x="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39">
    <i>
      <x v="33"/>
    </i>
    <i>
      <x v="5"/>
    </i>
    <i>
      <x v="9"/>
    </i>
    <i>
      <x/>
    </i>
    <i>
      <x v="4"/>
    </i>
    <i>
      <x v="8"/>
    </i>
    <i>
      <x v="17"/>
    </i>
    <i>
      <x v="38"/>
    </i>
    <i>
      <x v="10"/>
    </i>
    <i>
      <x v="11"/>
    </i>
    <i>
      <x v="6"/>
    </i>
    <i>
      <x v="13"/>
    </i>
    <i>
      <x v="26"/>
    </i>
    <i>
      <x v="15"/>
    </i>
    <i>
      <x v="19"/>
    </i>
    <i>
      <x v="31"/>
    </i>
    <i>
      <x v="16"/>
    </i>
    <i>
      <x v="7"/>
    </i>
    <i>
      <x v="27"/>
    </i>
    <i>
      <x v="20"/>
    </i>
    <i>
      <x v="18"/>
    </i>
    <i>
      <x v="25"/>
    </i>
    <i>
      <x v="29"/>
    </i>
    <i>
      <x v="34"/>
    </i>
    <i>
      <x v="1"/>
    </i>
    <i>
      <x v="3"/>
    </i>
    <i>
      <x v="14"/>
    </i>
    <i>
      <x v="28"/>
    </i>
    <i>
      <x v="37"/>
    </i>
    <i>
      <x v="30"/>
    </i>
    <i>
      <x v="21"/>
    </i>
    <i>
      <x v="24"/>
    </i>
    <i>
      <x v="2"/>
    </i>
    <i>
      <x v="36"/>
    </i>
    <i>
      <x v="32"/>
    </i>
    <i>
      <x v="23"/>
    </i>
    <i>
      <x v="22"/>
    </i>
    <i>
      <x v="35"/>
    </i>
    <i>
      <x v="12"/>
    </i>
  </rowItems>
  <colItems count="1">
    <i/>
  </colItems>
  <dataFields count="1">
    <dataField name="Average of salary_in_usd" fld="7" subtotal="average" baseField="4" baseItem="0" numFmtId="164"/>
  </dataFields>
  <formats count="6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>
  <location ref="A23:E28" firstHeaderRow="1" firstDataRow="2" firstDataCol="1"/>
  <pivotFields count="15"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 sortType="a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Average of salary_in_usd" fld="9" subtotal="average" baseField="5" baseItem="0" numFmtId="164"/>
  </dataFields>
  <formats count="6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A55:E60" firstHeaderRow="1" firstDataRow="2" firstDataCol="1"/>
  <pivotFields count="12"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Average of salary_in_usd" fld="7" subtotal="average" baseField="3" baseItem="0" numFmtId="164"/>
  </dataFields>
  <formats count="4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8"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0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38:B14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Average of salary_in_usd" fld="7" subtotal="average" baseField="9" baseItem="0"/>
  </dataFields>
  <formats count="6">
    <format dxfId="27">
      <pivotArea collapsedLevelsAreSubtotals="1" fieldPosition="0">
        <references count="1">
          <reference field="9" count="0"/>
        </references>
      </pivotArea>
    </format>
    <format dxfId="26">
      <pivotArea collapsedLevelsAreSubtotals="1" fieldPosition="0">
        <references count="1">
          <reference field="9" count="0"/>
        </references>
      </pivotArea>
    </format>
    <format dxfId="25">
      <pivotArea collapsedLevelsAreSubtotals="1" fieldPosition="0">
        <references count="1">
          <reference field="9" count="0"/>
        </references>
      </pivotArea>
    </format>
    <format dxfId="24">
      <pivotArea collapsedLevelsAreSubtotals="1" fieldPosition="0">
        <references count="1">
          <reference field="9" count="0"/>
        </references>
      </pivotArea>
    </format>
    <format dxfId="23">
      <pivotArea collapsedLevelsAreSubtotals="1" fieldPosition="0">
        <references count="1">
          <reference field="9" count="0"/>
        </references>
      </pivotArea>
    </format>
    <format dxfId="22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32:B13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Average of salary_in_usd" fld="7" subtotal="average" baseField="9" baseItem="0"/>
  </dataFields>
  <formats count="6">
    <format dxfId="33">
      <pivotArea collapsedLevelsAreSubtotals="1" fieldPosition="0">
        <references count="1">
          <reference field="9" count="0"/>
        </references>
      </pivotArea>
    </format>
    <format dxfId="32">
      <pivotArea collapsedLevelsAreSubtotals="1" fieldPosition="0">
        <references count="1">
          <reference field="9" count="0"/>
        </references>
      </pivotArea>
    </format>
    <format dxfId="31">
      <pivotArea collapsedLevelsAreSubtotals="1" fieldPosition="0">
        <references count="1">
          <reference field="9" count="0"/>
        </references>
      </pivotArea>
    </format>
    <format dxfId="30">
      <pivotArea collapsedLevelsAreSubtotals="1" fieldPosition="0">
        <references count="1">
          <reference field="9" count="0"/>
        </references>
      </pivotArea>
    </format>
    <format dxfId="29">
      <pivotArea collapsedLevelsAreSubtotals="1" fieldPosition="0">
        <references count="1">
          <reference field="9" count="0"/>
        </references>
      </pivotArea>
    </format>
    <format dxfId="28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A48:D52" firstHeaderRow="0" firstDataRow="1" firstDataCol="1"/>
  <pivotFields count="12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_in_usd" fld="7" subtotal="min" baseField="3" baseItem="0"/>
    <dataField name="Average of salary_in_usd" fld="7" subtotal="average" baseField="3" baseItem="0"/>
    <dataField name="Max of salary_in_usd" fld="7" subtotal="max" baseField="3" baseItem="0"/>
  </dataFields>
  <formats count="3"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/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24:D12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ary_in_usd" fld="9" baseField="0" baseItem="0"/>
    <dataField name="Count of salary_in_usd2" fld="9" subtotal="count" baseField="14" baseItem="0"/>
    <dataField name="Average of salary_in_usd2" fld="9" subtotal="average" baseField="14" baseItem="1"/>
  </dataFields>
  <formats count="4">
    <format dxfId="40">
      <pivotArea collapsedLevelsAreSubtotals="1" fieldPosition="0">
        <references count="1">
          <reference field="14" count="0"/>
        </references>
      </pivotArea>
    </format>
    <format dxfId="39">
      <pivotArea collapsedLevelsAreSubtotals="1" fieldPosition="0">
        <references count="1">
          <reference field="14" count="0"/>
        </references>
      </pivotArea>
    </format>
    <format dxfId="38">
      <pivotArea collapsedLevelsAreSubtotals="1" fieldPosition="0">
        <references count="1">
          <reference field="14" count="0"/>
        </references>
      </pivotArea>
    </format>
    <format dxfId="37">
      <pivotArea collapsedLevelsAreSubtotals="1" fieldPosition="0">
        <references count="1">
          <reference field="1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A16:D19" firstHeaderRow="0" firstDataRow="1" firstDataCol="1"/>
  <pivotFields count="15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_in_usd" fld="9" subtotal="min" baseField="2" baseItem="0"/>
    <dataField name="Average of salary_in_usd" fld="9" subtotal="average" baseField="2" baseItem="0"/>
    <dataField name="Max of salary_in_usd" fld="9" subtotal="max" baseField="2" baseItem="0"/>
  </dataFields>
  <formats count="8">
    <format dxfId="48">
      <pivotArea outline="0" collapsedLevelsAreSubtotals="1" fieldPosition="0"/>
    </format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outline="0" collapsedLevelsAreSubtotals="1" fieldPosition="0"/>
    </format>
  </formats>
  <conditionalFormats count="1">
    <conditionalFormat priority="4">
      <pivotAreas count="1">
        <pivotArea type="data" outline="0" collapsedLevelsAreSubtotals="1" fieldPosition="0"/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A2:D6" firstHeaderRow="0" firstDataRow="1" firstDataCol="1"/>
  <pivotFields count="15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_in_usd" fld="9" subtotal="min" baseField="2" baseItem="0"/>
    <dataField name="Average of salary_in_usd" fld="9" subtotal="average" baseField="2" baseItem="0"/>
    <dataField name="Max of salary_in_usd" fld="9" subtotal="max" baseField="2" baseItem="0"/>
  </dataFields>
  <formats count="8"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outline="0" collapsedLevelsAreSubtotals="1" fieldPosition="0"/>
    </format>
  </formats>
  <conditionalFormats count="1">
    <conditionalFormat priority="5">
      <pivotAreas count="1">
        <pivotArea type="data" outline="0" collapsedLevelsAreSubtotals="1" fieldPosition="0"/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9">
  <location ref="E81:F120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40">
        <item x="21"/>
        <item x="18"/>
        <item x="7"/>
        <item x="3"/>
        <item x="30"/>
        <item x="37"/>
        <item x="31"/>
        <item x="28"/>
        <item x="32"/>
        <item x="36"/>
        <item x="20"/>
        <item x="33"/>
        <item x="6"/>
        <item x="29"/>
        <item x="12"/>
        <item x="9"/>
        <item x="24"/>
        <item x="35"/>
        <item x="14"/>
        <item x="5"/>
        <item x="27"/>
        <item x="19"/>
        <item x="8"/>
        <item x="2"/>
        <item x="15"/>
        <item x="17"/>
        <item x="25"/>
        <item x="10"/>
        <item x="23"/>
        <item x="13"/>
        <item x="22"/>
        <item x="16"/>
        <item x="11"/>
        <item x="38"/>
        <item x="26"/>
        <item x="0"/>
        <item x="4"/>
        <item x="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39">
    <i>
      <x v="15"/>
    </i>
    <i>
      <x v="19"/>
    </i>
    <i>
      <x v="10"/>
    </i>
    <i>
      <x v="29"/>
    </i>
    <i>
      <x v="18"/>
    </i>
    <i>
      <x v="14"/>
    </i>
    <i>
      <x v="13"/>
    </i>
    <i>
      <x v="31"/>
    </i>
    <i>
      <x v="4"/>
    </i>
    <i>
      <x v="1"/>
    </i>
    <i>
      <x v="36"/>
    </i>
    <i>
      <x v="37"/>
    </i>
    <i>
      <x/>
    </i>
    <i>
      <x v="27"/>
    </i>
    <i>
      <x v="35"/>
    </i>
    <i>
      <x v="3"/>
    </i>
    <i>
      <x v="16"/>
    </i>
    <i>
      <x v="2"/>
    </i>
    <i>
      <x v="25"/>
    </i>
    <i>
      <x v="32"/>
    </i>
    <i>
      <x v="9"/>
    </i>
    <i>
      <x v="26"/>
    </i>
    <i>
      <x v="22"/>
    </i>
    <i>
      <x v="17"/>
    </i>
    <i>
      <x v="23"/>
    </i>
    <i>
      <x v="8"/>
    </i>
    <i>
      <x v="24"/>
    </i>
    <i>
      <x v="6"/>
    </i>
    <i>
      <x v="12"/>
    </i>
    <i>
      <x v="33"/>
    </i>
    <i>
      <x v="38"/>
    </i>
    <i>
      <x v="7"/>
    </i>
    <i>
      <x v="34"/>
    </i>
    <i>
      <x v="30"/>
    </i>
    <i>
      <x v="11"/>
    </i>
    <i>
      <x v="5"/>
    </i>
    <i>
      <x v="21"/>
    </i>
    <i>
      <x v="28"/>
    </i>
    <i>
      <x v="20"/>
    </i>
  </rowItems>
  <colItems count="1">
    <i/>
  </colItems>
  <dataFields count="1">
    <dataField name="Count of salary_in_usd" fld="7" subtotal="count" baseField="4" baseItem="38" numFmtId="164"/>
  </dataFields>
  <formats count="6"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A41:D45" firstHeaderRow="0" firstDataRow="1" firstDataCol="1"/>
  <pivotFields count="12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_in_usd" fld="7" subtotal="min" baseField="3" baseItem="0"/>
    <dataField name="Average of salary_in_usd" fld="7" subtotal="average" baseField="3" baseItem="0"/>
    <dataField name="Max of salary_in_usd" fld="7" subtotal="max" baseField="3" baseItem="0"/>
  </dataFields>
  <formats count="6"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/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aryInfo" displayName="SalaryInfo" ref="A1:O608" totalsRowShown="0">
  <autoFilter ref="A1:O608"/>
  <sortState ref="A2:O608">
    <sortCondition descending="1" ref="J1:J608"/>
  </sortState>
  <tableColumns count="15">
    <tableColumn id="1" name="Column1"/>
    <tableColumn id="2" name="work_year"/>
    <tableColumn id="13" name="Experience" dataDxfId="76">
      <calculatedColumnFormula>VLOOKUP(SalaryInfo[[#This Row],[experience_level]],Experience[],2,FALSE)</calculatedColumnFormula>
    </tableColumn>
    <tableColumn id="3" name="experience_level"/>
    <tableColumn id="15" name="EmpType" dataDxfId="75">
      <calculatedColumnFormula>VLOOKUP(SalaryInfo[[#This Row],[employment_type]],EmpType[],2,FALSE)</calculatedColumnFormula>
    </tableColumn>
    <tableColumn id="4" name="employment_type"/>
    <tableColumn id="5" name="job_title"/>
    <tableColumn id="6" name="salary"/>
    <tableColumn id="7" name="salary_currency"/>
    <tableColumn id="8" name="salary_in_usd"/>
    <tableColumn id="9" name="employee_residence"/>
    <tableColumn id="10" name="remote_ratio"/>
    <tableColumn id="11" name="company_location"/>
    <tableColumn id="12" name="company_size"/>
    <tableColumn id="14" name="size" dataDxfId="74">
      <calculatedColumnFormula>VLOOKUP(SalaryInfo[[#This Row],[company_size]],CompanySize[],2,FALSE)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ience" displayName="Experience" ref="Q1:R5" totalsRowShown="0">
  <autoFilter ref="Q1:R5"/>
  <tableColumns count="2">
    <tableColumn id="1" name="Ex level"/>
    <tableColumn id="2" name="Ex level F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nySize" displayName="CompanySize" ref="Q8:R11" totalsRowShown="0">
  <autoFilter ref="Q8:R11"/>
  <tableColumns count="2">
    <tableColumn id="1" name="Size"/>
    <tableColumn id="2" name="F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mpType" displayName="EmpType" ref="Q14:R18" totalsRowShown="0">
  <autoFilter ref="Q14:R18"/>
  <tableColumns count="2">
    <tableColumn id="1" name="Emp Type"/>
    <tableColumn id="2" name="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xMinExp" displayName="MaxMinExp" ref="Q20:S24" totalsRowShown="0" headerRowDxfId="73" dataDxfId="72">
  <autoFilter ref="Q20:S24"/>
  <tableColumns count="3">
    <tableColumn id="1" name="Experience" dataDxfId="71"/>
    <tableColumn id="2" name="Max Salary" dataDxfId="70">
      <calculatedColumnFormula array="1">MAX(IF(SalaryInfo[Experience]=Q21,SalaryInfo[salary_in_usd]))</calculatedColumnFormula>
    </tableColumn>
    <tableColumn id="3" name="Min Salary" dataDxfId="69">
      <calculatedColumnFormula array="1">MIN(IF(SalaryInfo[Experience]=Q21,SalaryInfo[salary_in_usd]))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MaxMinSize" displayName="MaxMinSize" ref="Q27:S30" totalsRowShown="0">
  <autoFilter ref="Q27:S30"/>
  <tableColumns count="3">
    <tableColumn id="1" name="Size"/>
    <tableColumn id="2" name="Max Salary">
      <calculatedColumnFormula array="1">MAX(IF(SalaryInfo[size]=Q28,SalaryInfo[salary_in_usd]))</calculatedColumnFormula>
    </tableColumn>
    <tableColumn id="3" name="Min Salary">
      <calculatedColumnFormula array="1">MIN(IF(SalaryInfo[size]=Q28,SalaryInfo[salary_in_usd]))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SalaryInfoUS" displayName="SalaryInfoUS" ref="A1:L356" totalsRowShown="0">
  <autoFilter ref="A1:L356"/>
  <sortState ref="A2:L356">
    <sortCondition ref="H1:H356"/>
  </sortState>
  <tableColumns count="12">
    <tableColumn id="1" name="Column1"/>
    <tableColumn id="2" name="work_year"/>
    <tableColumn id="3" name="Experience"/>
    <tableColumn id="4" name="EmpType"/>
    <tableColumn id="5" name="job_title"/>
    <tableColumn id="6" name="salary"/>
    <tableColumn id="7" name="salary_currency"/>
    <tableColumn id="8" name="salary_in_usd"/>
    <tableColumn id="9" name="employee_residence"/>
    <tableColumn id="10" name="remote_ratio"/>
    <tableColumn id="11" name="company_location"/>
    <tableColumn id="12" name="siz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itlePie" displayName="TitlePie" ref="H81:I88" totalsRowShown="0" headerRowDxfId="5" dataDxfId="4">
  <autoFilter ref="H81:I88"/>
  <tableColumns count="2">
    <tableColumn id="1" name="Job Title" dataDxfId="3"/>
    <tableColumn id="2" name="Count" dataDxf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3" name="Table13" displayName="Table13" ref="E138:F141" totalsRowShown="0">
  <autoFilter ref="E138:F141"/>
  <tableColumns count="2">
    <tableColumn id="1" name="Work Type" dataDxfId="1"/>
    <tableColumn id="2" name="Avg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8"/>
  <sheetViews>
    <sheetView topLeftCell="B1" zoomScale="85" zoomScaleNormal="85" workbookViewId="0">
      <selection activeCell="O8" sqref="O8"/>
    </sheetView>
  </sheetViews>
  <sheetFormatPr defaultRowHeight="15"/>
  <cols>
    <col min="1" max="1" width="4" bestFit="1" customWidth="1"/>
    <col min="2" max="2" width="10.28515625" bestFit="1" customWidth="1"/>
    <col min="3" max="3" width="16.5703125" bestFit="1" customWidth="1"/>
    <col min="4" max="4" width="17.7109375" bestFit="1" customWidth="1"/>
    <col min="5" max="5" width="38.42578125" bestFit="1" customWidth="1"/>
    <col min="6" max="6" width="9" bestFit="1" customWidth="1"/>
    <col min="7" max="7" width="14.85546875" bestFit="1" customWidth="1"/>
    <col min="8" max="8" width="13.140625" bestFit="1" customWidth="1"/>
    <col min="9" max="9" width="20" bestFit="1" customWidth="1"/>
    <col min="10" max="10" width="12.7109375" bestFit="1" customWidth="1"/>
    <col min="11" max="11" width="17.42578125" bestFit="1" customWidth="1"/>
    <col min="12" max="12" width="13.5703125" bestFit="1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>
        <v>2020</v>
      </c>
      <c r="C2" t="s">
        <v>11</v>
      </c>
      <c r="D2" t="s">
        <v>12</v>
      </c>
      <c r="E2" t="s">
        <v>13</v>
      </c>
      <c r="F2">
        <v>70000</v>
      </c>
      <c r="G2" t="s">
        <v>14</v>
      </c>
      <c r="H2">
        <v>79833</v>
      </c>
      <c r="I2" t="s">
        <v>15</v>
      </c>
      <c r="J2">
        <v>0</v>
      </c>
      <c r="K2" t="s">
        <v>15</v>
      </c>
      <c r="L2" t="s">
        <v>16</v>
      </c>
    </row>
    <row r="3" spans="1:12">
      <c r="A3">
        <v>1</v>
      </c>
      <c r="B3">
        <v>2020</v>
      </c>
      <c r="C3" t="s">
        <v>17</v>
      </c>
      <c r="D3" t="s">
        <v>12</v>
      </c>
      <c r="E3" t="s">
        <v>18</v>
      </c>
      <c r="F3">
        <v>260000</v>
      </c>
      <c r="G3" t="s">
        <v>19</v>
      </c>
      <c r="H3">
        <v>260000</v>
      </c>
      <c r="I3" t="s">
        <v>20</v>
      </c>
      <c r="J3">
        <v>0</v>
      </c>
      <c r="K3" t="s">
        <v>20</v>
      </c>
      <c r="L3" t="s">
        <v>21</v>
      </c>
    </row>
    <row r="4" spans="1:12">
      <c r="A4">
        <v>2</v>
      </c>
      <c r="B4">
        <v>2020</v>
      </c>
      <c r="C4" t="s">
        <v>17</v>
      </c>
      <c r="D4" t="s">
        <v>12</v>
      </c>
      <c r="E4" t="s">
        <v>22</v>
      </c>
      <c r="F4">
        <v>85000</v>
      </c>
      <c r="G4" t="s">
        <v>23</v>
      </c>
      <c r="H4">
        <v>109024</v>
      </c>
      <c r="I4" t="s">
        <v>24</v>
      </c>
      <c r="J4">
        <v>50</v>
      </c>
      <c r="K4" t="s">
        <v>24</v>
      </c>
      <c r="L4" t="s">
        <v>25</v>
      </c>
    </row>
    <row r="5" spans="1:12">
      <c r="A5">
        <v>3</v>
      </c>
      <c r="B5">
        <v>2020</v>
      </c>
      <c r="C5" t="s">
        <v>11</v>
      </c>
      <c r="D5" t="s">
        <v>12</v>
      </c>
      <c r="E5" t="s">
        <v>26</v>
      </c>
      <c r="F5">
        <v>20000</v>
      </c>
      <c r="G5" t="s">
        <v>19</v>
      </c>
      <c r="H5">
        <v>20000</v>
      </c>
      <c r="I5" t="s">
        <v>27</v>
      </c>
      <c r="J5">
        <v>0</v>
      </c>
      <c r="K5" t="s">
        <v>27</v>
      </c>
      <c r="L5" t="s">
        <v>21</v>
      </c>
    </row>
    <row r="6" spans="1:12">
      <c r="A6">
        <v>4</v>
      </c>
      <c r="B6">
        <v>2020</v>
      </c>
      <c r="C6" t="s">
        <v>17</v>
      </c>
      <c r="D6" t="s">
        <v>12</v>
      </c>
      <c r="E6" t="s">
        <v>28</v>
      </c>
      <c r="F6">
        <v>150000</v>
      </c>
      <c r="G6" t="s">
        <v>19</v>
      </c>
      <c r="H6">
        <v>150000</v>
      </c>
      <c r="I6" t="s">
        <v>29</v>
      </c>
      <c r="J6">
        <v>50</v>
      </c>
      <c r="K6" t="s">
        <v>29</v>
      </c>
      <c r="L6" t="s">
        <v>16</v>
      </c>
    </row>
    <row r="7" spans="1:12">
      <c r="A7">
        <v>5</v>
      </c>
      <c r="B7">
        <v>2020</v>
      </c>
      <c r="C7" t="s">
        <v>30</v>
      </c>
      <c r="D7" t="s">
        <v>12</v>
      </c>
      <c r="E7" t="s">
        <v>31</v>
      </c>
      <c r="F7">
        <v>72000</v>
      </c>
      <c r="G7" t="s">
        <v>19</v>
      </c>
      <c r="H7">
        <v>72000</v>
      </c>
      <c r="I7" t="s">
        <v>29</v>
      </c>
      <c r="J7">
        <v>100</v>
      </c>
      <c r="K7" t="s">
        <v>29</v>
      </c>
      <c r="L7" t="s">
        <v>16</v>
      </c>
    </row>
    <row r="8" spans="1:12">
      <c r="A8">
        <v>6</v>
      </c>
      <c r="B8">
        <v>2020</v>
      </c>
      <c r="C8" t="s">
        <v>17</v>
      </c>
      <c r="D8" t="s">
        <v>12</v>
      </c>
      <c r="E8" t="s">
        <v>32</v>
      </c>
      <c r="F8">
        <v>190000</v>
      </c>
      <c r="G8" t="s">
        <v>19</v>
      </c>
      <c r="H8">
        <v>190000</v>
      </c>
      <c r="I8" t="s">
        <v>29</v>
      </c>
      <c r="J8">
        <v>100</v>
      </c>
      <c r="K8" t="s">
        <v>29</v>
      </c>
      <c r="L8" t="s">
        <v>21</v>
      </c>
    </row>
    <row r="9" spans="1:12">
      <c r="A9">
        <v>7</v>
      </c>
      <c r="B9">
        <v>2020</v>
      </c>
      <c r="C9" t="s">
        <v>11</v>
      </c>
      <c r="D9" t="s">
        <v>12</v>
      </c>
      <c r="E9" t="s">
        <v>13</v>
      </c>
      <c r="F9">
        <v>11000000</v>
      </c>
      <c r="G9" t="s">
        <v>33</v>
      </c>
      <c r="H9">
        <v>35735</v>
      </c>
      <c r="I9" t="s">
        <v>34</v>
      </c>
      <c r="J9">
        <v>50</v>
      </c>
      <c r="K9" t="s">
        <v>34</v>
      </c>
      <c r="L9" t="s">
        <v>16</v>
      </c>
    </row>
    <row r="10" spans="1:12">
      <c r="A10">
        <v>8</v>
      </c>
      <c r="B10">
        <v>2020</v>
      </c>
      <c r="C10" t="s">
        <v>11</v>
      </c>
      <c r="D10" t="s">
        <v>12</v>
      </c>
      <c r="E10" t="s">
        <v>35</v>
      </c>
      <c r="F10">
        <v>135000</v>
      </c>
      <c r="G10" t="s">
        <v>19</v>
      </c>
      <c r="H10">
        <v>135000</v>
      </c>
      <c r="I10" t="s">
        <v>29</v>
      </c>
      <c r="J10">
        <v>100</v>
      </c>
      <c r="K10" t="s">
        <v>29</v>
      </c>
      <c r="L10" t="s">
        <v>16</v>
      </c>
    </row>
    <row r="11" spans="1:12">
      <c r="A11">
        <v>9</v>
      </c>
      <c r="B11">
        <v>2020</v>
      </c>
      <c r="C11" t="s">
        <v>17</v>
      </c>
      <c r="D11" t="s">
        <v>12</v>
      </c>
      <c r="E11" t="s">
        <v>36</v>
      </c>
      <c r="F11">
        <v>125000</v>
      </c>
      <c r="G11" t="s">
        <v>19</v>
      </c>
      <c r="H11">
        <v>125000</v>
      </c>
      <c r="I11" t="s">
        <v>37</v>
      </c>
      <c r="J11">
        <v>50</v>
      </c>
      <c r="K11" t="s">
        <v>37</v>
      </c>
      <c r="L11" t="s">
        <v>21</v>
      </c>
    </row>
    <row r="12" spans="1:12">
      <c r="A12">
        <v>10</v>
      </c>
      <c r="B12">
        <v>2020</v>
      </c>
      <c r="C12" t="s">
        <v>30</v>
      </c>
      <c r="D12" t="s">
        <v>12</v>
      </c>
      <c r="E12" t="s">
        <v>13</v>
      </c>
      <c r="F12">
        <v>45000</v>
      </c>
      <c r="G12" t="s">
        <v>14</v>
      </c>
      <c r="H12">
        <v>51321</v>
      </c>
      <c r="I12" t="s">
        <v>38</v>
      </c>
      <c r="J12">
        <v>0</v>
      </c>
      <c r="K12" t="s">
        <v>38</v>
      </c>
      <c r="L12" t="s">
        <v>21</v>
      </c>
    </row>
    <row r="13" spans="1:12">
      <c r="A13">
        <v>11</v>
      </c>
      <c r="B13">
        <v>2020</v>
      </c>
      <c r="C13" t="s">
        <v>11</v>
      </c>
      <c r="D13" t="s">
        <v>12</v>
      </c>
      <c r="E13" t="s">
        <v>13</v>
      </c>
      <c r="F13">
        <v>3000000</v>
      </c>
      <c r="G13" t="s">
        <v>39</v>
      </c>
      <c r="H13">
        <v>40481</v>
      </c>
      <c r="I13" t="s">
        <v>40</v>
      </c>
      <c r="J13">
        <v>0</v>
      </c>
      <c r="K13" t="s">
        <v>40</v>
      </c>
      <c r="L13" t="s">
        <v>16</v>
      </c>
    </row>
    <row r="14" spans="1:12">
      <c r="A14">
        <v>12</v>
      </c>
      <c r="B14">
        <v>2020</v>
      </c>
      <c r="C14" t="s">
        <v>30</v>
      </c>
      <c r="D14" t="s">
        <v>12</v>
      </c>
      <c r="E14" t="s">
        <v>13</v>
      </c>
      <c r="F14">
        <v>35000</v>
      </c>
      <c r="G14" t="s">
        <v>14</v>
      </c>
      <c r="H14">
        <v>39916</v>
      </c>
      <c r="I14" t="s">
        <v>38</v>
      </c>
      <c r="J14">
        <v>0</v>
      </c>
      <c r="K14" t="s">
        <v>38</v>
      </c>
      <c r="L14" t="s">
        <v>25</v>
      </c>
    </row>
    <row r="15" spans="1:12">
      <c r="A15">
        <v>13</v>
      </c>
      <c r="B15">
        <v>2020</v>
      </c>
      <c r="C15" t="s">
        <v>11</v>
      </c>
      <c r="D15" t="s">
        <v>12</v>
      </c>
      <c r="E15" t="s">
        <v>41</v>
      </c>
      <c r="F15">
        <v>87000</v>
      </c>
      <c r="G15" t="s">
        <v>19</v>
      </c>
      <c r="H15">
        <v>87000</v>
      </c>
      <c r="I15" t="s">
        <v>29</v>
      </c>
      <c r="J15">
        <v>100</v>
      </c>
      <c r="K15" t="s">
        <v>29</v>
      </c>
      <c r="L15" t="s">
        <v>16</v>
      </c>
    </row>
    <row r="16" spans="1:12">
      <c r="A16">
        <v>14</v>
      </c>
      <c r="B16">
        <v>2020</v>
      </c>
      <c r="C16" t="s">
        <v>11</v>
      </c>
      <c r="D16" t="s">
        <v>12</v>
      </c>
      <c r="E16" t="s">
        <v>31</v>
      </c>
      <c r="F16">
        <v>85000</v>
      </c>
      <c r="G16" t="s">
        <v>19</v>
      </c>
      <c r="H16">
        <v>85000</v>
      </c>
      <c r="I16" t="s">
        <v>29</v>
      </c>
      <c r="J16">
        <v>100</v>
      </c>
      <c r="K16" t="s">
        <v>29</v>
      </c>
      <c r="L16" t="s">
        <v>16</v>
      </c>
    </row>
    <row r="17" spans="1:12">
      <c r="A17">
        <v>15</v>
      </c>
      <c r="B17">
        <v>2020</v>
      </c>
      <c r="C17" t="s">
        <v>11</v>
      </c>
      <c r="D17" t="s">
        <v>12</v>
      </c>
      <c r="E17" t="s">
        <v>31</v>
      </c>
      <c r="F17">
        <v>8000</v>
      </c>
      <c r="G17" t="s">
        <v>19</v>
      </c>
      <c r="H17">
        <v>8000</v>
      </c>
      <c r="I17" t="s">
        <v>42</v>
      </c>
      <c r="J17">
        <v>50</v>
      </c>
      <c r="K17" t="s">
        <v>42</v>
      </c>
      <c r="L17" t="s">
        <v>16</v>
      </c>
    </row>
    <row r="18" spans="1:12">
      <c r="A18">
        <v>16</v>
      </c>
      <c r="B18">
        <v>2020</v>
      </c>
      <c r="C18" t="s">
        <v>30</v>
      </c>
      <c r="D18" t="s">
        <v>12</v>
      </c>
      <c r="E18" t="s">
        <v>43</v>
      </c>
      <c r="F18">
        <v>4450000</v>
      </c>
      <c r="G18" t="s">
        <v>44</v>
      </c>
      <c r="H18">
        <v>41689</v>
      </c>
      <c r="I18" t="s">
        <v>20</v>
      </c>
      <c r="J18">
        <v>100</v>
      </c>
      <c r="K18" t="s">
        <v>20</v>
      </c>
      <c r="L18" t="s">
        <v>21</v>
      </c>
    </row>
    <row r="19" spans="1:12">
      <c r="A19">
        <v>17</v>
      </c>
      <c r="B19">
        <v>2020</v>
      </c>
      <c r="C19" t="s">
        <v>17</v>
      </c>
      <c r="D19" t="s">
        <v>12</v>
      </c>
      <c r="E19" t="s">
        <v>22</v>
      </c>
      <c r="F19">
        <v>100000</v>
      </c>
      <c r="G19" t="s">
        <v>14</v>
      </c>
      <c r="H19">
        <v>114047</v>
      </c>
      <c r="I19" t="s">
        <v>45</v>
      </c>
      <c r="J19">
        <v>100</v>
      </c>
      <c r="K19" t="s">
        <v>24</v>
      </c>
      <c r="L19" t="s">
        <v>21</v>
      </c>
    </row>
    <row r="20" spans="1:12">
      <c r="A20">
        <v>18</v>
      </c>
      <c r="B20">
        <v>2020</v>
      </c>
      <c r="C20" t="s">
        <v>30</v>
      </c>
      <c r="D20" t="s">
        <v>12</v>
      </c>
      <c r="E20" t="s">
        <v>46</v>
      </c>
      <c r="F20">
        <v>423000</v>
      </c>
      <c r="G20" t="s">
        <v>39</v>
      </c>
      <c r="H20">
        <v>5707</v>
      </c>
      <c r="I20" t="s">
        <v>40</v>
      </c>
      <c r="J20">
        <v>50</v>
      </c>
      <c r="K20" t="s">
        <v>40</v>
      </c>
      <c r="L20" t="s">
        <v>25</v>
      </c>
    </row>
    <row r="21" spans="1:12">
      <c r="A21">
        <v>19</v>
      </c>
      <c r="B21">
        <v>2020</v>
      </c>
      <c r="C21" t="s">
        <v>11</v>
      </c>
      <c r="D21" t="s">
        <v>12</v>
      </c>
      <c r="E21" t="s">
        <v>36</v>
      </c>
      <c r="F21">
        <v>56000</v>
      </c>
      <c r="G21" t="s">
        <v>19</v>
      </c>
      <c r="H21">
        <v>56000</v>
      </c>
      <c r="I21" t="s">
        <v>47</v>
      </c>
      <c r="J21">
        <v>100</v>
      </c>
      <c r="K21" t="s">
        <v>29</v>
      </c>
      <c r="L21" t="s">
        <v>25</v>
      </c>
    </row>
    <row r="22" spans="1:12">
      <c r="A22">
        <v>20</v>
      </c>
      <c r="B22">
        <v>2020</v>
      </c>
      <c r="C22" t="s">
        <v>11</v>
      </c>
      <c r="D22" t="s">
        <v>12</v>
      </c>
      <c r="E22" t="s">
        <v>28</v>
      </c>
      <c r="F22">
        <v>299000</v>
      </c>
      <c r="G22" t="s">
        <v>48</v>
      </c>
      <c r="H22">
        <v>43331</v>
      </c>
      <c r="I22" t="s">
        <v>49</v>
      </c>
      <c r="J22">
        <v>0</v>
      </c>
      <c r="K22" t="s">
        <v>49</v>
      </c>
      <c r="L22" t="s">
        <v>25</v>
      </c>
    </row>
    <row r="23" spans="1:12">
      <c r="A23">
        <v>21</v>
      </c>
      <c r="B23">
        <v>2020</v>
      </c>
      <c r="C23" t="s">
        <v>11</v>
      </c>
      <c r="D23" t="s">
        <v>12</v>
      </c>
      <c r="E23" t="s">
        <v>26</v>
      </c>
      <c r="F23">
        <v>450000</v>
      </c>
      <c r="G23" t="s">
        <v>39</v>
      </c>
      <c r="H23">
        <v>6072</v>
      </c>
      <c r="I23" t="s">
        <v>40</v>
      </c>
      <c r="J23">
        <v>100</v>
      </c>
      <c r="K23" t="s">
        <v>40</v>
      </c>
      <c r="L23" t="s">
        <v>16</v>
      </c>
    </row>
    <row r="24" spans="1:12">
      <c r="A24">
        <v>22</v>
      </c>
      <c r="B24">
        <v>2020</v>
      </c>
      <c r="C24" t="s">
        <v>17</v>
      </c>
      <c r="D24" t="s">
        <v>12</v>
      </c>
      <c r="E24" t="s">
        <v>43</v>
      </c>
      <c r="F24">
        <v>42000</v>
      </c>
      <c r="G24" t="s">
        <v>14</v>
      </c>
      <c r="H24">
        <v>47899</v>
      </c>
      <c r="I24" t="s">
        <v>50</v>
      </c>
      <c r="J24">
        <v>50</v>
      </c>
      <c r="K24" t="s">
        <v>50</v>
      </c>
      <c r="L24" t="s">
        <v>16</v>
      </c>
    </row>
    <row r="25" spans="1:12">
      <c r="A25">
        <v>23</v>
      </c>
      <c r="B25">
        <v>2020</v>
      </c>
      <c r="C25" t="s">
        <v>11</v>
      </c>
      <c r="D25" t="s">
        <v>12</v>
      </c>
      <c r="E25" t="s">
        <v>51</v>
      </c>
      <c r="F25">
        <v>98000</v>
      </c>
      <c r="G25" t="s">
        <v>19</v>
      </c>
      <c r="H25">
        <v>98000</v>
      </c>
      <c r="I25" t="s">
        <v>29</v>
      </c>
      <c r="J25">
        <v>0</v>
      </c>
      <c r="K25" t="s">
        <v>29</v>
      </c>
      <c r="L25" t="s">
        <v>25</v>
      </c>
    </row>
    <row r="26" spans="1:12">
      <c r="A26">
        <v>24</v>
      </c>
      <c r="B26">
        <v>2020</v>
      </c>
      <c r="C26" t="s">
        <v>11</v>
      </c>
      <c r="D26" t="s">
        <v>12</v>
      </c>
      <c r="E26" t="s">
        <v>32</v>
      </c>
      <c r="F26">
        <v>115000</v>
      </c>
      <c r="G26" t="s">
        <v>19</v>
      </c>
      <c r="H26">
        <v>115000</v>
      </c>
      <c r="I26" t="s">
        <v>52</v>
      </c>
      <c r="J26">
        <v>0</v>
      </c>
      <c r="K26" t="s">
        <v>52</v>
      </c>
      <c r="L26" t="s">
        <v>16</v>
      </c>
    </row>
    <row r="27" spans="1:12">
      <c r="A27">
        <v>25</v>
      </c>
      <c r="B27">
        <v>2020</v>
      </c>
      <c r="C27" t="s">
        <v>53</v>
      </c>
      <c r="D27" t="s">
        <v>12</v>
      </c>
      <c r="E27" t="s">
        <v>54</v>
      </c>
      <c r="F27">
        <v>325000</v>
      </c>
      <c r="G27" t="s">
        <v>19</v>
      </c>
      <c r="H27">
        <v>325000</v>
      </c>
      <c r="I27" t="s">
        <v>29</v>
      </c>
      <c r="J27">
        <v>100</v>
      </c>
      <c r="K27" t="s">
        <v>29</v>
      </c>
      <c r="L27" t="s">
        <v>16</v>
      </c>
    </row>
    <row r="28" spans="1:12">
      <c r="A28">
        <v>26</v>
      </c>
      <c r="B28">
        <v>2020</v>
      </c>
      <c r="C28" t="s">
        <v>30</v>
      </c>
      <c r="D28" t="s">
        <v>12</v>
      </c>
      <c r="E28" t="s">
        <v>55</v>
      </c>
      <c r="F28">
        <v>42000</v>
      </c>
      <c r="G28" t="s">
        <v>19</v>
      </c>
      <c r="H28">
        <v>42000</v>
      </c>
      <c r="I28" t="s">
        <v>56</v>
      </c>
      <c r="J28">
        <v>50</v>
      </c>
      <c r="K28" t="s">
        <v>56</v>
      </c>
      <c r="L28" t="s">
        <v>16</v>
      </c>
    </row>
    <row r="29" spans="1:12">
      <c r="A29">
        <v>27</v>
      </c>
      <c r="B29">
        <v>2020</v>
      </c>
      <c r="C29" t="s">
        <v>17</v>
      </c>
      <c r="D29" t="s">
        <v>12</v>
      </c>
      <c r="E29" t="s">
        <v>43</v>
      </c>
      <c r="F29">
        <v>720000</v>
      </c>
      <c r="G29" t="s">
        <v>57</v>
      </c>
      <c r="H29">
        <v>33511</v>
      </c>
      <c r="I29" t="s">
        <v>58</v>
      </c>
      <c r="J29">
        <v>0</v>
      </c>
      <c r="K29" t="s">
        <v>58</v>
      </c>
      <c r="L29" t="s">
        <v>21</v>
      </c>
    </row>
    <row r="30" spans="1:12">
      <c r="A30">
        <v>28</v>
      </c>
      <c r="B30">
        <v>2020</v>
      </c>
      <c r="C30" t="s">
        <v>30</v>
      </c>
      <c r="D30" t="s">
        <v>59</v>
      </c>
      <c r="E30" t="s">
        <v>35</v>
      </c>
      <c r="F30">
        <v>100000</v>
      </c>
      <c r="G30" t="s">
        <v>19</v>
      </c>
      <c r="H30">
        <v>100000</v>
      </c>
      <c r="I30" t="s">
        <v>29</v>
      </c>
      <c r="J30">
        <v>100</v>
      </c>
      <c r="K30" t="s">
        <v>29</v>
      </c>
      <c r="L30" t="s">
        <v>16</v>
      </c>
    </row>
    <row r="31" spans="1:12">
      <c r="A31">
        <v>29</v>
      </c>
      <c r="B31">
        <v>2020</v>
      </c>
      <c r="C31" t="s">
        <v>17</v>
      </c>
      <c r="D31" t="s">
        <v>12</v>
      </c>
      <c r="E31" t="s">
        <v>60</v>
      </c>
      <c r="F31">
        <v>157000</v>
      </c>
      <c r="G31" t="s">
        <v>61</v>
      </c>
      <c r="H31">
        <v>117104</v>
      </c>
      <c r="I31" t="s">
        <v>62</v>
      </c>
      <c r="J31">
        <v>50</v>
      </c>
      <c r="K31" t="s">
        <v>62</v>
      </c>
      <c r="L31" t="s">
        <v>16</v>
      </c>
    </row>
    <row r="32" spans="1:12">
      <c r="A32">
        <v>30</v>
      </c>
      <c r="B32">
        <v>2020</v>
      </c>
      <c r="C32" t="s">
        <v>11</v>
      </c>
      <c r="D32" t="s">
        <v>12</v>
      </c>
      <c r="E32" t="s">
        <v>63</v>
      </c>
      <c r="F32">
        <v>51999</v>
      </c>
      <c r="G32" t="s">
        <v>14</v>
      </c>
      <c r="H32">
        <v>59303</v>
      </c>
      <c r="I32" t="s">
        <v>15</v>
      </c>
      <c r="J32">
        <v>100</v>
      </c>
      <c r="K32" t="s">
        <v>15</v>
      </c>
      <c r="L32" t="s">
        <v>21</v>
      </c>
    </row>
    <row r="33" spans="1:12">
      <c r="A33">
        <v>31</v>
      </c>
      <c r="B33">
        <v>2020</v>
      </c>
      <c r="C33" t="s">
        <v>30</v>
      </c>
      <c r="D33" t="s">
        <v>12</v>
      </c>
      <c r="E33" t="s">
        <v>22</v>
      </c>
      <c r="F33">
        <v>70000</v>
      </c>
      <c r="G33" t="s">
        <v>19</v>
      </c>
      <c r="H33">
        <v>70000</v>
      </c>
      <c r="I33" t="s">
        <v>29</v>
      </c>
      <c r="J33">
        <v>100</v>
      </c>
      <c r="K33" t="s">
        <v>29</v>
      </c>
      <c r="L33" t="s">
        <v>16</v>
      </c>
    </row>
    <row r="34" spans="1:12">
      <c r="A34">
        <v>32</v>
      </c>
      <c r="B34">
        <v>2020</v>
      </c>
      <c r="C34" t="s">
        <v>17</v>
      </c>
      <c r="D34" t="s">
        <v>12</v>
      </c>
      <c r="E34" t="s">
        <v>13</v>
      </c>
      <c r="F34">
        <v>60000</v>
      </c>
      <c r="G34" t="s">
        <v>14</v>
      </c>
      <c r="H34">
        <v>68428</v>
      </c>
      <c r="I34" t="s">
        <v>50</v>
      </c>
      <c r="J34">
        <v>100</v>
      </c>
      <c r="K34" t="s">
        <v>29</v>
      </c>
      <c r="L34" t="s">
        <v>16</v>
      </c>
    </row>
    <row r="35" spans="1:12">
      <c r="A35">
        <v>33</v>
      </c>
      <c r="B35">
        <v>2020</v>
      </c>
      <c r="C35" t="s">
        <v>11</v>
      </c>
      <c r="D35" t="s">
        <v>12</v>
      </c>
      <c r="E35" t="s">
        <v>55</v>
      </c>
      <c r="F35">
        <v>450000</v>
      </c>
      <c r="G35" t="s">
        <v>19</v>
      </c>
      <c r="H35">
        <v>450000</v>
      </c>
      <c r="I35" t="s">
        <v>29</v>
      </c>
      <c r="J35">
        <v>0</v>
      </c>
      <c r="K35" t="s">
        <v>29</v>
      </c>
      <c r="L35" t="s">
        <v>25</v>
      </c>
    </row>
    <row r="36" spans="1:12">
      <c r="A36">
        <v>34</v>
      </c>
      <c r="B36">
        <v>2020</v>
      </c>
      <c r="C36" t="s">
        <v>11</v>
      </c>
      <c r="D36" t="s">
        <v>12</v>
      </c>
      <c r="E36" t="s">
        <v>31</v>
      </c>
      <c r="F36">
        <v>41000</v>
      </c>
      <c r="G36" t="s">
        <v>14</v>
      </c>
      <c r="H36">
        <v>46759</v>
      </c>
      <c r="I36" t="s">
        <v>38</v>
      </c>
      <c r="J36">
        <v>50</v>
      </c>
      <c r="K36" t="s">
        <v>38</v>
      </c>
      <c r="L36" t="s">
        <v>16</v>
      </c>
    </row>
    <row r="37" spans="1:12">
      <c r="A37">
        <v>35</v>
      </c>
      <c r="B37">
        <v>2020</v>
      </c>
      <c r="C37" t="s">
        <v>11</v>
      </c>
      <c r="D37" t="s">
        <v>12</v>
      </c>
      <c r="E37" t="s">
        <v>43</v>
      </c>
      <c r="F37">
        <v>65000</v>
      </c>
      <c r="G37" t="s">
        <v>14</v>
      </c>
      <c r="H37">
        <v>74130</v>
      </c>
      <c r="I37" t="s">
        <v>64</v>
      </c>
      <c r="J37">
        <v>50</v>
      </c>
      <c r="K37" t="s">
        <v>64</v>
      </c>
      <c r="L37" t="s">
        <v>16</v>
      </c>
    </row>
    <row r="38" spans="1:12">
      <c r="A38">
        <v>36</v>
      </c>
      <c r="B38">
        <v>2020</v>
      </c>
      <c r="C38" t="s">
        <v>11</v>
      </c>
      <c r="D38" t="s">
        <v>12</v>
      </c>
      <c r="E38" t="s">
        <v>46</v>
      </c>
      <c r="F38">
        <v>103000</v>
      </c>
      <c r="G38" t="s">
        <v>19</v>
      </c>
      <c r="H38">
        <v>103000</v>
      </c>
      <c r="I38" t="s">
        <v>29</v>
      </c>
      <c r="J38">
        <v>100</v>
      </c>
      <c r="K38" t="s">
        <v>29</v>
      </c>
      <c r="L38" t="s">
        <v>16</v>
      </c>
    </row>
    <row r="39" spans="1:12">
      <c r="A39">
        <v>37</v>
      </c>
      <c r="B39">
        <v>2020</v>
      </c>
      <c r="C39" t="s">
        <v>30</v>
      </c>
      <c r="D39" t="s">
        <v>12</v>
      </c>
      <c r="E39" t="s">
        <v>28</v>
      </c>
      <c r="F39">
        <v>250000</v>
      </c>
      <c r="G39" t="s">
        <v>19</v>
      </c>
      <c r="H39">
        <v>250000</v>
      </c>
      <c r="I39" t="s">
        <v>29</v>
      </c>
      <c r="J39">
        <v>50</v>
      </c>
      <c r="K39" t="s">
        <v>29</v>
      </c>
      <c r="L39" t="s">
        <v>16</v>
      </c>
    </row>
    <row r="40" spans="1:12">
      <c r="A40">
        <v>38</v>
      </c>
      <c r="B40">
        <v>2020</v>
      </c>
      <c r="C40" t="s">
        <v>30</v>
      </c>
      <c r="D40" t="s">
        <v>12</v>
      </c>
      <c r="E40" t="s">
        <v>31</v>
      </c>
      <c r="F40">
        <v>10000</v>
      </c>
      <c r="G40" t="s">
        <v>19</v>
      </c>
      <c r="H40">
        <v>10000</v>
      </c>
      <c r="I40" t="s">
        <v>65</v>
      </c>
      <c r="J40">
        <v>100</v>
      </c>
      <c r="K40" t="s">
        <v>65</v>
      </c>
      <c r="L40" t="s">
        <v>21</v>
      </c>
    </row>
    <row r="41" spans="1:12">
      <c r="A41">
        <v>39</v>
      </c>
      <c r="B41">
        <v>2020</v>
      </c>
      <c r="C41" t="s">
        <v>30</v>
      </c>
      <c r="D41" t="s">
        <v>12</v>
      </c>
      <c r="E41" t="s">
        <v>28</v>
      </c>
      <c r="F41">
        <v>138000</v>
      </c>
      <c r="G41" t="s">
        <v>19</v>
      </c>
      <c r="H41">
        <v>138000</v>
      </c>
      <c r="I41" t="s">
        <v>29</v>
      </c>
      <c r="J41">
        <v>100</v>
      </c>
      <c r="K41" t="s">
        <v>29</v>
      </c>
      <c r="L41" t="s">
        <v>21</v>
      </c>
    </row>
    <row r="42" spans="1:12">
      <c r="A42">
        <v>40</v>
      </c>
      <c r="B42">
        <v>2020</v>
      </c>
      <c r="C42" t="s">
        <v>11</v>
      </c>
      <c r="D42" t="s">
        <v>12</v>
      </c>
      <c r="E42" t="s">
        <v>13</v>
      </c>
      <c r="F42">
        <v>45760</v>
      </c>
      <c r="G42" t="s">
        <v>19</v>
      </c>
      <c r="H42">
        <v>45760</v>
      </c>
      <c r="I42" t="s">
        <v>66</v>
      </c>
      <c r="J42">
        <v>100</v>
      </c>
      <c r="K42" t="s">
        <v>29</v>
      </c>
      <c r="L42" t="s">
        <v>21</v>
      </c>
    </row>
    <row r="43" spans="1:12">
      <c r="A43">
        <v>41</v>
      </c>
      <c r="B43">
        <v>2020</v>
      </c>
      <c r="C43" t="s">
        <v>53</v>
      </c>
      <c r="D43" t="s">
        <v>12</v>
      </c>
      <c r="E43" t="s">
        <v>63</v>
      </c>
      <c r="F43">
        <v>70000</v>
      </c>
      <c r="G43" t="s">
        <v>14</v>
      </c>
      <c r="H43">
        <v>79833</v>
      </c>
      <c r="I43" t="s">
        <v>67</v>
      </c>
      <c r="J43">
        <v>50</v>
      </c>
      <c r="K43" t="s">
        <v>67</v>
      </c>
      <c r="L43" t="s">
        <v>16</v>
      </c>
    </row>
    <row r="44" spans="1:12">
      <c r="A44">
        <v>42</v>
      </c>
      <c r="B44">
        <v>2020</v>
      </c>
      <c r="C44" t="s">
        <v>11</v>
      </c>
      <c r="D44" t="s">
        <v>12</v>
      </c>
      <c r="E44" t="s">
        <v>68</v>
      </c>
      <c r="F44">
        <v>44000</v>
      </c>
      <c r="G44" t="s">
        <v>14</v>
      </c>
      <c r="H44">
        <v>50180</v>
      </c>
      <c r="I44" t="s">
        <v>47</v>
      </c>
      <c r="J44">
        <v>0</v>
      </c>
      <c r="K44" t="s">
        <v>47</v>
      </c>
      <c r="L44" t="s">
        <v>25</v>
      </c>
    </row>
    <row r="45" spans="1:12">
      <c r="A45">
        <v>43</v>
      </c>
      <c r="B45">
        <v>2020</v>
      </c>
      <c r="C45" t="s">
        <v>11</v>
      </c>
      <c r="D45" t="s">
        <v>12</v>
      </c>
      <c r="E45" t="s">
        <v>43</v>
      </c>
      <c r="F45">
        <v>106000</v>
      </c>
      <c r="G45" t="s">
        <v>19</v>
      </c>
      <c r="H45">
        <v>106000</v>
      </c>
      <c r="I45" t="s">
        <v>29</v>
      </c>
      <c r="J45">
        <v>100</v>
      </c>
      <c r="K45" t="s">
        <v>29</v>
      </c>
      <c r="L45" t="s">
        <v>16</v>
      </c>
    </row>
    <row r="46" spans="1:12">
      <c r="A46">
        <v>44</v>
      </c>
      <c r="B46">
        <v>2020</v>
      </c>
      <c r="C46" t="s">
        <v>11</v>
      </c>
      <c r="D46" t="s">
        <v>12</v>
      </c>
      <c r="E46" t="s">
        <v>43</v>
      </c>
      <c r="F46">
        <v>88000</v>
      </c>
      <c r="G46" t="s">
        <v>23</v>
      </c>
      <c r="H46">
        <v>112872</v>
      </c>
      <c r="I46" t="s">
        <v>24</v>
      </c>
      <c r="J46">
        <v>50</v>
      </c>
      <c r="K46" t="s">
        <v>24</v>
      </c>
      <c r="L46" t="s">
        <v>16</v>
      </c>
    </row>
    <row r="47" spans="1:12">
      <c r="A47">
        <v>45</v>
      </c>
      <c r="B47">
        <v>2020</v>
      </c>
      <c r="C47" t="s">
        <v>30</v>
      </c>
      <c r="D47" t="s">
        <v>47</v>
      </c>
      <c r="E47" t="s">
        <v>69</v>
      </c>
      <c r="F47">
        <v>14000</v>
      </c>
      <c r="G47" t="s">
        <v>14</v>
      </c>
      <c r="H47">
        <v>15966</v>
      </c>
      <c r="I47" t="s">
        <v>15</v>
      </c>
      <c r="J47">
        <v>100</v>
      </c>
      <c r="K47" t="s">
        <v>15</v>
      </c>
      <c r="L47" t="s">
        <v>21</v>
      </c>
    </row>
    <row r="48" spans="1:12">
      <c r="A48">
        <v>46</v>
      </c>
      <c r="B48">
        <v>2020</v>
      </c>
      <c r="C48" t="s">
        <v>11</v>
      </c>
      <c r="D48" t="s">
        <v>12</v>
      </c>
      <c r="E48" t="s">
        <v>13</v>
      </c>
      <c r="F48">
        <v>60000</v>
      </c>
      <c r="G48" t="s">
        <v>23</v>
      </c>
      <c r="H48">
        <v>76958</v>
      </c>
      <c r="I48" t="s">
        <v>24</v>
      </c>
      <c r="J48">
        <v>100</v>
      </c>
      <c r="K48" t="s">
        <v>24</v>
      </c>
      <c r="L48" t="s">
        <v>21</v>
      </c>
    </row>
    <row r="49" spans="1:12">
      <c r="A49">
        <v>47</v>
      </c>
      <c r="B49">
        <v>2020</v>
      </c>
      <c r="C49" t="s">
        <v>17</v>
      </c>
      <c r="D49" t="s">
        <v>12</v>
      </c>
      <c r="E49" t="s">
        <v>43</v>
      </c>
      <c r="F49">
        <v>188000</v>
      </c>
      <c r="G49" t="s">
        <v>19</v>
      </c>
      <c r="H49">
        <v>188000</v>
      </c>
      <c r="I49" t="s">
        <v>29</v>
      </c>
      <c r="J49">
        <v>100</v>
      </c>
      <c r="K49" t="s">
        <v>29</v>
      </c>
      <c r="L49" t="s">
        <v>16</v>
      </c>
    </row>
    <row r="50" spans="1:12">
      <c r="A50">
        <v>48</v>
      </c>
      <c r="B50">
        <v>2020</v>
      </c>
      <c r="C50" t="s">
        <v>11</v>
      </c>
      <c r="D50" t="s">
        <v>12</v>
      </c>
      <c r="E50" t="s">
        <v>13</v>
      </c>
      <c r="F50">
        <v>105000</v>
      </c>
      <c r="G50" t="s">
        <v>19</v>
      </c>
      <c r="H50">
        <v>105000</v>
      </c>
      <c r="I50" t="s">
        <v>29</v>
      </c>
      <c r="J50">
        <v>100</v>
      </c>
      <c r="K50" t="s">
        <v>29</v>
      </c>
      <c r="L50" t="s">
        <v>16</v>
      </c>
    </row>
    <row r="51" spans="1:12">
      <c r="A51">
        <v>49</v>
      </c>
      <c r="B51">
        <v>2020</v>
      </c>
      <c r="C51" t="s">
        <v>11</v>
      </c>
      <c r="D51" t="s">
        <v>12</v>
      </c>
      <c r="E51" t="s">
        <v>43</v>
      </c>
      <c r="F51">
        <v>61500</v>
      </c>
      <c r="G51" t="s">
        <v>14</v>
      </c>
      <c r="H51">
        <v>70139</v>
      </c>
      <c r="I51" t="s">
        <v>38</v>
      </c>
      <c r="J51">
        <v>50</v>
      </c>
      <c r="K51" t="s">
        <v>38</v>
      </c>
      <c r="L51" t="s">
        <v>16</v>
      </c>
    </row>
    <row r="52" spans="1:12">
      <c r="A52">
        <v>50</v>
      </c>
      <c r="B52">
        <v>2020</v>
      </c>
      <c r="C52" t="s">
        <v>30</v>
      </c>
      <c r="D52" t="s">
        <v>12</v>
      </c>
      <c r="E52" t="s">
        <v>31</v>
      </c>
      <c r="F52">
        <v>450000</v>
      </c>
      <c r="G52" t="s">
        <v>39</v>
      </c>
      <c r="H52">
        <v>6072</v>
      </c>
      <c r="I52" t="s">
        <v>40</v>
      </c>
      <c r="J52">
        <v>0</v>
      </c>
      <c r="K52" t="s">
        <v>40</v>
      </c>
      <c r="L52" t="s">
        <v>21</v>
      </c>
    </row>
    <row r="53" spans="1:12">
      <c r="A53">
        <v>51</v>
      </c>
      <c r="B53">
        <v>2020</v>
      </c>
      <c r="C53" t="s">
        <v>30</v>
      </c>
      <c r="D53" t="s">
        <v>12</v>
      </c>
      <c r="E53" t="s">
        <v>31</v>
      </c>
      <c r="F53">
        <v>91000</v>
      </c>
      <c r="G53" t="s">
        <v>19</v>
      </c>
      <c r="H53">
        <v>91000</v>
      </c>
      <c r="I53" t="s">
        <v>29</v>
      </c>
      <c r="J53">
        <v>100</v>
      </c>
      <c r="K53" t="s">
        <v>29</v>
      </c>
      <c r="L53" t="s">
        <v>16</v>
      </c>
    </row>
    <row r="54" spans="1:12">
      <c r="A54">
        <v>52</v>
      </c>
      <c r="B54">
        <v>2020</v>
      </c>
      <c r="C54" t="s">
        <v>30</v>
      </c>
      <c r="D54" t="s">
        <v>12</v>
      </c>
      <c r="E54" t="s">
        <v>70</v>
      </c>
      <c r="F54">
        <v>300000</v>
      </c>
      <c r="G54" t="s">
        <v>71</v>
      </c>
      <c r="H54">
        <v>45896</v>
      </c>
      <c r="I54" t="s">
        <v>72</v>
      </c>
      <c r="J54">
        <v>50</v>
      </c>
      <c r="K54" t="s">
        <v>72</v>
      </c>
      <c r="L54" t="s">
        <v>21</v>
      </c>
    </row>
    <row r="55" spans="1:12">
      <c r="A55">
        <v>53</v>
      </c>
      <c r="B55">
        <v>2020</v>
      </c>
      <c r="C55" t="s">
        <v>30</v>
      </c>
      <c r="D55" t="s">
        <v>12</v>
      </c>
      <c r="E55" t="s">
        <v>43</v>
      </c>
      <c r="F55">
        <v>48000</v>
      </c>
      <c r="G55" t="s">
        <v>14</v>
      </c>
      <c r="H55">
        <v>54742</v>
      </c>
      <c r="I55" t="s">
        <v>42</v>
      </c>
      <c r="J55">
        <v>100</v>
      </c>
      <c r="K55" t="s">
        <v>15</v>
      </c>
      <c r="L55" t="s">
        <v>16</v>
      </c>
    </row>
    <row r="56" spans="1:12">
      <c r="A56">
        <v>54</v>
      </c>
      <c r="B56">
        <v>2020</v>
      </c>
      <c r="C56" t="s">
        <v>17</v>
      </c>
      <c r="D56" t="s">
        <v>73</v>
      </c>
      <c r="E56" t="s">
        <v>74</v>
      </c>
      <c r="F56">
        <v>60000</v>
      </c>
      <c r="G56" t="s">
        <v>19</v>
      </c>
      <c r="H56">
        <v>60000</v>
      </c>
      <c r="I56" t="s">
        <v>75</v>
      </c>
      <c r="J56">
        <v>100</v>
      </c>
      <c r="K56" t="s">
        <v>29</v>
      </c>
      <c r="L56" t="s">
        <v>21</v>
      </c>
    </row>
    <row r="57" spans="1:12">
      <c r="A57">
        <v>55</v>
      </c>
      <c r="B57">
        <v>2020</v>
      </c>
      <c r="C57" t="s">
        <v>17</v>
      </c>
      <c r="D57" t="s">
        <v>12</v>
      </c>
      <c r="E57" t="s">
        <v>76</v>
      </c>
      <c r="F57">
        <v>130000</v>
      </c>
      <c r="G57" t="s">
        <v>14</v>
      </c>
      <c r="H57">
        <v>148261</v>
      </c>
      <c r="I57" t="s">
        <v>15</v>
      </c>
      <c r="J57">
        <v>100</v>
      </c>
      <c r="K57" t="s">
        <v>15</v>
      </c>
      <c r="L57" t="s">
        <v>25</v>
      </c>
    </row>
    <row r="58" spans="1:12">
      <c r="A58">
        <v>56</v>
      </c>
      <c r="B58">
        <v>2020</v>
      </c>
      <c r="C58" t="s">
        <v>11</v>
      </c>
      <c r="D58" t="s">
        <v>12</v>
      </c>
      <c r="E58" t="s">
        <v>13</v>
      </c>
      <c r="F58">
        <v>34000</v>
      </c>
      <c r="G58" t="s">
        <v>14</v>
      </c>
      <c r="H58">
        <v>38776</v>
      </c>
      <c r="I58" t="s">
        <v>67</v>
      </c>
      <c r="J58">
        <v>100</v>
      </c>
      <c r="K58" t="s">
        <v>67</v>
      </c>
      <c r="L58" t="s">
        <v>25</v>
      </c>
    </row>
    <row r="59" spans="1:12">
      <c r="A59">
        <v>57</v>
      </c>
      <c r="B59">
        <v>2020</v>
      </c>
      <c r="C59" t="s">
        <v>11</v>
      </c>
      <c r="D59" t="s">
        <v>12</v>
      </c>
      <c r="E59" t="s">
        <v>13</v>
      </c>
      <c r="F59">
        <v>118000</v>
      </c>
      <c r="G59" t="s">
        <v>19</v>
      </c>
      <c r="H59">
        <v>118000</v>
      </c>
      <c r="I59" t="s">
        <v>29</v>
      </c>
      <c r="J59">
        <v>100</v>
      </c>
      <c r="K59" t="s">
        <v>29</v>
      </c>
      <c r="L59" t="s">
        <v>25</v>
      </c>
    </row>
    <row r="60" spans="1:12">
      <c r="A60">
        <v>58</v>
      </c>
      <c r="B60">
        <v>2020</v>
      </c>
      <c r="C60" t="s">
        <v>17</v>
      </c>
      <c r="D60" t="s">
        <v>12</v>
      </c>
      <c r="E60" t="s">
        <v>13</v>
      </c>
      <c r="F60">
        <v>120000</v>
      </c>
      <c r="G60" t="s">
        <v>19</v>
      </c>
      <c r="H60">
        <v>120000</v>
      </c>
      <c r="I60" t="s">
        <v>29</v>
      </c>
      <c r="J60">
        <v>50</v>
      </c>
      <c r="K60" t="s">
        <v>29</v>
      </c>
      <c r="L60" t="s">
        <v>16</v>
      </c>
    </row>
    <row r="61" spans="1:12">
      <c r="A61">
        <v>59</v>
      </c>
      <c r="B61">
        <v>2020</v>
      </c>
      <c r="C61" t="s">
        <v>11</v>
      </c>
      <c r="D61" t="s">
        <v>12</v>
      </c>
      <c r="E61" t="s">
        <v>13</v>
      </c>
      <c r="F61">
        <v>138350</v>
      </c>
      <c r="G61" t="s">
        <v>19</v>
      </c>
      <c r="H61">
        <v>138350</v>
      </c>
      <c r="I61" t="s">
        <v>29</v>
      </c>
      <c r="J61">
        <v>100</v>
      </c>
      <c r="K61" t="s">
        <v>29</v>
      </c>
      <c r="L61" t="s">
        <v>25</v>
      </c>
    </row>
    <row r="62" spans="1:12">
      <c r="A62">
        <v>60</v>
      </c>
      <c r="B62">
        <v>2020</v>
      </c>
      <c r="C62" t="s">
        <v>11</v>
      </c>
      <c r="D62" t="s">
        <v>12</v>
      </c>
      <c r="E62" t="s">
        <v>43</v>
      </c>
      <c r="F62">
        <v>110000</v>
      </c>
      <c r="G62" t="s">
        <v>19</v>
      </c>
      <c r="H62">
        <v>110000</v>
      </c>
      <c r="I62" t="s">
        <v>29</v>
      </c>
      <c r="J62">
        <v>100</v>
      </c>
      <c r="K62" t="s">
        <v>29</v>
      </c>
      <c r="L62" t="s">
        <v>16</v>
      </c>
    </row>
    <row r="63" spans="1:12">
      <c r="A63">
        <v>61</v>
      </c>
      <c r="B63">
        <v>2020</v>
      </c>
      <c r="C63" t="s">
        <v>11</v>
      </c>
      <c r="D63" t="s">
        <v>12</v>
      </c>
      <c r="E63" t="s">
        <v>43</v>
      </c>
      <c r="F63">
        <v>130800</v>
      </c>
      <c r="G63" t="s">
        <v>19</v>
      </c>
      <c r="H63">
        <v>130800</v>
      </c>
      <c r="I63" t="s">
        <v>67</v>
      </c>
      <c r="J63">
        <v>100</v>
      </c>
      <c r="K63" t="s">
        <v>29</v>
      </c>
      <c r="L63" t="s">
        <v>25</v>
      </c>
    </row>
    <row r="64" spans="1:12">
      <c r="A64">
        <v>62</v>
      </c>
      <c r="B64">
        <v>2020</v>
      </c>
      <c r="C64" t="s">
        <v>30</v>
      </c>
      <c r="D64" t="s">
        <v>47</v>
      </c>
      <c r="E64" t="s">
        <v>13</v>
      </c>
      <c r="F64">
        <v>19000</v>
      </c>
      <c r="G64" t="s">
        <v>14</v>
      </c>
      <c r="H64">
        <v>21669</v>
      </c>
      <c r="I64" t="s">
        <v>77</v>
      </c>
      <c r="J64">
        <v>50</v>
      </c>
      <c r="K64" t="s">
        <v>77</v>
      </c>
      <c r="L64" t="s">
        <v>21</v>
      </c>
    </row>
    <row r="65" spans="1:12">
      <c r="A65">
        <v>63</v>
      </c>
      <c r="B65">
        <v>2020</v>
      </c>
      <c r="C65" t="s">
        <v>17</v>
      </c>
      <c r="D65" t="s">
        <v>12</v>
      </c>
      <c r="E65" t="s">
        <v>13</v>
      </c>
      <c r="F65">
        <v>412000</v>
      </c>
      <c r="G65" t="s">
        <v>19</v>
      </c>
      <c r="H65">
        <v>412000</v>
      </c>
      <c r="I65" t="s">
        <v>29</v>
      </c>
      <c r="J65">
        <v>100</v>
      </c>
      <c r="K65" t="s">
        <v>29</v>
      </c>
      <c r="L65" t="s">
        <v>16</v>
      </c>
    </row>
    <row r="66" spans="1:12">
      <c r="A66">
        <v>64</v>
      </c>
      <c r="B66">
        <v>2020</v>
      </c>
      <c r="C66" t="s">
        <v>17</v>
      </c>
      <c r="D66" t="s">
        <v>12</v>
      </c>
      <c r="E66" t="s">
        <v>28</v>
      </c>
      <c r="F66">
        <v>40000</v>
      </c>
      <c r="G66" t="s">
        <v>14</v>
      </c>
      <c r="H66">
        <v>45618</v>
      </c>
      <c r="I66" t="s">
        <v>78</v>
      </c>
      <c r="J66">
        <v>100</v>
      </c>
      <c r="K66" t="s">
        <v>78</v>
      </c>
      <c r="L66" t="s">
        <v>21</v>
      </c>
    </row>
    <row r="67" spans="1:12">
      <c r="A67">
        <v>65</v>
      </c>
      <c r="B67">
        <v>2020</v>
      </c>
      <c r="C67" t="s">
        <v>30</v>
      </c>
      <c r="D67" t="s">
        <v>12</v>
      </c>
      <c r="E67" t="s">
        <v>13</v>
      </c>
      <c r="F67">
        <v>55000</v>
      </c>
      <c r="G67" t="s">
        <v>14</v>
      </c>
      <c r="H67">
        <v>62726</v>
      </c>
      <c r="I67" t="s">
        <v>15</v>
      </c>
      <c r="J67">
        <v>50</v>
      </c>
      <c r="K67" t="s">
        <v>15</v>
      </c>
      <c r="L67" t="s">
        <v>21</v>
      </c>
    </row>
    <row r="68" spans="1:12">
      <c r="A68">
        <v>66</v>
      </c>
      <c r="B68">
        <v>2020</v>
      </c>
      <c r="C68" t="s">
        <v>30</v>
      </c>
      <c r="D68" t="s">
        <v>12</v>
      </c>
      <c r="E68" t="s">
        <v>13</v>
      </c>
      <c r="F68">
        <v>43200</v>
      </c>
      <c r="G68" t="s">
        <v>14</v>
      </c>
      <c r="H68">
        <v>49268</v>
      </c>
      <c r="I68" t="s">
        <v>15</v>
      </c>
      <c r="J68">
        <v>0</v>
      </c>
      <c r="K68" t="s">
        <v>15</v>
      </c>
      <c r="L68" t="s">
        <v>21</v>
      </c>
    </row>
    <row r="69" spans="1:12">
      <c r="A69">
        <v>67</v>
      </c>
      <c r="B69">
        <v>2020</v>
      </c>
      <c r="C69" t="s">
        <v>17</v>
      </c>
      <c r="D69" t="s">
        <v>12</v>
      </c>
      <c r="E69" t="s">
        <v>79</v>
      </c>
      <c r="F69">
        <v>190200</v>
      </c>
      <c r="G69" t="s">
        <v>19</v>
      </c>
      <c r="H69">
        <v>190200</v>
      </c>
      <c r="I69" t="s">
        <v>29</v>
      </c>
      <c r="J69">
        <v>100</v>
      </c>
      <c r="K69" t="s">
        <v>29</v>
      </c>
      <c r="L69" t="s">
        <v>25</v>
      </c>
    </row>
    <row r="70" spans="1:12">
      <c r="A70">
        <v>68</v>
      </c>
      <c r="B70">
        <v>2020</v>
      </c>
      <c r="C70" t="s">
        <v>30</v>
      </c>
      <c r="D70" t="s">
        <v>12</v>
      </c>
      <c r="E70" t="s">
        <v>13</v>
      </c>
      <c r="F70">
        <v>105000</v>
      </c>
      <c r="G70" t="s">
        <v>19</v>
      </c>
      <c r="H70">
        <v>105000</v>
      </c>
      <c r="I70" t="s">
        <v>29</v>
      </c>
      <c r="J70">
        <v>100</v>
      </c>
      <c r="K70" t="s">
        <v>29</v>
      </c>
      <c r="L70" t="s">
        <v>21</v>
      </c>
    </row>
    <row r="71" spans="1:12">
      <c r="A71">
        <v>69</v>
      </c>
      <c r="B71">
        <v>2020</v>
      </c>
      <c r="C71" t="s">
        <v>17</v>
      </c>
      <c r="D71" t="s">
        <v>12</v>
      </c>
      <c r="E71" t="s">
        <v>13</v>
      </c>
      <c r="F71">
        <v>80000</v>
      </c>
      <c r="G71" t="s">
        <v>14</v>
      </c>
      <c r="H71">
        <v>91237</v>
      </c>
      <c r="I71" t="s">
        <v>64</v>
      </c>
      <c r="J71">
        <v>0</v>
      </c>
      <c r="K71" t="s">
        <v>64</v>
      </c>
      <c r="L71" t="s">
        <v>21</v>
      </c>
    </row>
    <row r="72" spans="1:12">
      <c r="A72">
        <v>70</v>
      </c>
      <c r="B72">
        <v>2020</v>
      </c>
      <c r="C72" t="s">
        <v>11</v>
      </c>
      <c r="D72" t="s">
        <v>12</v>
      </c>
      <c r="E72" t="s">
        <v>13</v>
      </c>
      <c r="F72">
        <v>55000</v>
      </c>
      <c r="G72" t="s">
        <v>14</v>
      </c>
      <c r="H72">
        <v>62726</v>
      </c>
      <c r="I72" t="s">
        <v>38</v>
      </c>
      <c r="J72">
        <v>50</v>
      </c>
      <c r="K72" t="s">
        <v>80</v>
      </c>
      <c r="L72" t="s">
        <v>21</v>
      </c>
    </row>
    <row r="73" spans="1:12">
      <c r="A73">
        <v>71</v>
      </c>
      <c r="B73">
        <v>2020</v>
      </c>
      <c r="C73" t="s">
        <v>11</v>
      </c>
      <c r="D73" t="s">
        <v>12</v>
      </c>
      <c r="E73" t="s">
        <v>13</v>
      </c>
      <c r="F73">
        <v>37000</v>
      </c>
      <c r="G73" t="s">
        <v>14</v>
      </c>
      <c r="H73">
        <v>42197</v>
      </c>
      <c r="I73" t="s">
        <v>38</v>
      </c>
      <c r="J73">
        <v>50</v>
      </c>
      <c r="K73" t="s">
        <v>38</v>
      </c>
      <c r="L73" t="s">
        <v>21</v>
      </c>
    </row>
    <row r="74" spans="1:12">
      <c r="A74">
        <v>72</v>
      </c>
      <c r="B74">
        <v>2021</v>
      </c>
      <c r="C74" t="s">
        <v>30</v>
      </c>
      <c r="D74" t="s">
        <v>12</v>
      </c>
      <c r="E74" t="s">
        <v>55</v>
      </c>
      <c r="F74">
        <v>60000</v>
      </c>
      <c r="G74" t="s">
        <v>23</v>
      </c>
      <c r="H74">
        <v>82528</v>
      </c>
      <c r="I74" t="s">
        <v>24</v>
      </c>
      <c r="J74">
        <v>50</v>
      </c>
      <c r="K74" t="s">
        <v>24</v>
      </c>
      <c r="L74" t="s">
        <v>16</v>
      </c>
    </row>
    <row r="75" spans="1:12">
      <c r="A75">
        <v>73</v>
      </c>
      <c r="B75">
        <v>2021</v>
      </c>
      <c r="C75" t="s">
        <v>53</v>
      </c>
      <c r="D75" t="s">
        <v>12</v>
      </c>
      <c r="E75" t="s">
        <v>51</v>
      </c>
      <c r="F75">
        <v>150000</v>
      </c>
      <c r="G75" t="s">
        <v>19</v>
      </c>
      <c r="H75">
        <v>150000</v>
      </c>
      <c r="I75" t="s">
        <v>40</v>
      </c>
      <c r="J75">
        <v>100</v>
      </c>
      <c r="K75" t="s">
        <v>29</v>
      </c>
      <c r="L75" t="s">
        <v>16</v>
      </c>
    </row>
    <row r="76" spans="1:12">
      <c r="A76">
        <v>74</v>
      </c>
      <c r="B76">
        <v>2021</v>
      </c>
      <c r="C76" t="s">
        <v>53</v>
      </c>
      <c r="D76" t="s">
        <v>12</v>
      </c>
      <c r="E76" t="s">
        <v>81</v>
      </c>
      <c r="F76">
        <v>235000</v>
      </c>
      <c r="G76" t="s">
        <v>19</v>
      </c>
      <c r="H76">
        <v>235000</v>
      </c>
      <c r="I76" t="s">
        <v>29</v>
      </c>
      <c r="J76">
        <v>100</v>
      </c>
      <c r="K76" t="s">
        <v>29</v>
      </c>
      <c r="L76" t="s">
        <v>16</v>
      </c>
    </row>
    <row r="77" spans="1:12">
      <c r="A77">
        <v>75</v>
      </c>
      <c r="B77">
        <v>2021</v>
      </c>
      <c r="C77" t="s">
        <v>17</v>
      </c>
      <c r="D77" t="s">
        <v>12</v>
      </c>
      <c r="E77" t="s">
        <v>13</v>
      </c>
      <c r="F77">
        <v>45000</v>
      </c>
      <c r="G77" t="s">
        <v>14</v>
      </c>
      <c r="H77">
        <v>53192</v>
      </c>
      <c r="I77" t="s">
        <v>38</v>
      </c>
      <c r="J77">
        <v>50</v>
      </c>
      <c r="K77" t="s">
        <v>38</v>
      </c>
      <c r="L77" t="s">
        <v>16</v>
      </c>
    </row>
    <row r="78" spans="1:12">
      <c r="A78">
        <v>76</v>
      </c>
      <c r="B78">
        <v>2021</v>
      </c>
      <c r="C78" t="s">
        <v>11</v>
      </c>
      <c r="D78" t="s">
        <v>12</v>
      </c>
      <c r="E78" t="s">
        <v>51</v>
      </c>
      <c r="F78">
        <v>100000</v>
      </c>
      <c r="G78" t="s">
        <v>19</v>
      </c>
      <c r="H78">
        <v>100000</v>
      </c>
      <c r="I78" t="s">
        <v>29</v>
      </c>
      <c r="J78">
        <v>100</v>
      </c>
      <c r="K78" t="s">
        <v>29</v>
      </c>
      <c r="L78" t="s">
        <v>25</v>
      </c>
    </row>
    <row r="79" spans="1:12">
      <c r="A79">
        <v>77</v>
      </c>
      <c r="B79">
        <v>2021</v>
      </c>
      <c r="C79" t="s">
        <v>11</v>
      </c>
      <c r="D79" t="s">
        <v>47</v>
      </c>
      <c r="E79" t="s">
        <v>82</v>
      </c>
      <c r="F79">
        <v>400000</v>
      </c>
      <c r="G79" t="s">
        <v>39</v>
      </c>
      <c r="H79">
        <v>5409</v>
      </c>
      <c r="I79" t="s">
        <v>40</v>
      </c>
      <c r="J79">
        <v>50</v>
      </c>
      <c r="K79" t="s">
        <v>40</v>
      </c>
      <c r="L79" t="s">
        <v>25</v>
      </c>
    </row>
    <row r="80" spans="1:12">
      <c r="A80">
        <v>78</v>
      </c>
      <c r="B80">
        <v>2021</v>
      </c>
      <c r="C80" t="s">
        <v>11</v>
      </c>
      <c r="D80" t="s">
        <v>59</v>
      </c>
      <c r="E80" t="s">
        <v>69</v>
      </c>
      <c r="F80">
        <v>270000</v>
      </c>
      <c r="G80" t="s">
        <v>19</v>
      </c>
      <c r="H80">
        <v>270000</v>
      </c>
      <c r="I80" t="s">
        <v>29</v>
      </c>
      <c r="J80">
        <v>100</v>
      </c>
      <c r="K80" t="s">
        <v>29</v>
      </c>
      <c r="L80" t="s">
        <v>16</v>
      </c>
    </row>
    <row r="81" spans="1:12">
      <c r="A81">
        <v>79</v>
      </c>
      <c r="B81">
        <v>2021</v>
      </c>
      <c r="C81" t="s">
        <v>30</v>
      </c>
      <c r="D81" t="s">
        <v>12</v>
      </c>
      <c r="E81" t="s">
        <v>31</v>
      </c>
      <c r="F81">
        <v>80000</v>
      </c>
      <c r="G81" t="s">
        <v>19</v>
      </c>
      <c r="H81">
        <v>80000</v>
      </c>
      <c r="I81" t="s">
        <v>29</v>
      </c>
      <c r="J81">
        <v>100</v>
      </c>
      <c r="K81" t="s">
        <v>29</v>
      </c>
      <c r="L81" t="s">
        <v>25</v>
      </c>
    </row>
    <row r="82" spans="1:12">
      <c r="A82">
        <v>80</v>
      </c>
      <c r="B82">
        <v>2021</v>
      </c>
      <c r="C82" t="s">
        <v>17</v>
      </c>
      <c r="D82" t="s">
        <v>12</v>
      </c>
      <c r="E82" t="s">
        <v>83</v>
      </c>
      <c r="F82">
        <v>67000</v>
      </c>
      <c r="G82" t="s">
        <v>14</v>
      </c>
      <c r="H82">
        <v>79197</v>
      </c>
      <c r="I82" t="s">
        <v>15</v>
      </c>
      <c r="J82">
        <v>100</v>
      </c>
      <c r="K82" t="s">
        <v>15</v>
      </c>
      <c r="L82" t="s">
        <v>16</v>
      </c>
    </row>
    <row r="83" spans="1:12">
      <c r="A83">
        <v>81</v>
      </c>
      <c r="B83">
        <v>2021</v>
      </c>
      <c r="C83" t="s">
        <v>11</v>
      </c>
      <c r="D83" t="s">
        <v>12</v>
      </c>
      <c r="E83" t="s">
        <v>43</v>
      </c>
      <c r="F83">
        <v>140000</v>
      </c>
      <c r="G83" t="s">
        <v>19</v>
      </c>
      <c r="H83">
        <v>140000</v>
      </c>
      <c r="I83" t="s">
        <v>29</v>
      </c>
      <c r="J83">
        <v>100</v>
      </c>
      <c r="K83" t="s">
        <v>29</v>
      </c>
      <c r="L83" t="s">
        <v>16</v>
      </c>
    </row>
    <row r="84" spans="1:12">
      <c r="A84">
        <v>82</v>
      </c>
      <c r="B84">
        <v>2021</v>
      </c>
      <c r="C84" t="s">
        <v>11</v>
      </c>
      <c r="D84" t="s">
        <v>12</v>
      </c>
      <c r="E84" t="s">
        <v>84</v>
      </c>
      <c r="F84">
        <v>68000</v>
      </c>
      <c r="G84" t="s">
        <v>61</v>
      </c>
      <c r="H84">
        <v>54238</v>
      </c>
      <c r="I84" t="s">
        <v>24</v>
      </c>
      <c r="J84">
        <v>50</v>
      </c>
      <c r="K84" t="s">
        <v>62</v>
      </c>
      <c r="L84" t="s">
        <v>16</v>
      </c>
    </row>
    <row r="85" spans="1:12">
      <c r="A85">
        <v>83</v>
      </c>
      <c r="B85">
        <v>2021</v>
      </c>
      <c r="C85" t="s">
        <v>11</v>
      </c>
      <c r="D85" t="s">
        <v>12</v>
      </c>
      <c r="E85" t="s">
        <v>28</v>
      </c>
      <c r="F85">
        <v>40000</v>
      </c>
      <c r="G85" t="s">
        <v>14</v>
      </c>
      <c r="H85">
        <v>47282</v>
      </c>
      <c r="I85" t="s">
        <v>67</v>
      </c>
      <c r="J85">
        <v>100</v>
      </c>
      <c r="K85" t="s">
        <v>67</v>
      </c>
      <c r="L85" t="s">
        <v>21</v>
      </c>
    </row>
    <row r="86" spans="1:12">
      <c r="A86">
        <v>84</v>
      </c>
      <c r="B86">
        <v>2021</v>
      </c>
      <c r="C86" t="s">
        <v>53</v>
      </c>
      <c r="D86" t="s">
        <v>12</v>
      </c>
      <c r="E86" t="s">
        <v>54</v>
      </c>
      <c r="F86">
        <v>130000</v>
      </c>
      <c r="G86" t="s">
        <v>14</v>
      </c>
      <c r="H86">
        <v>153667</v>
      </c>
      <c r="I86" t="s">
        <v>77</v>
      </c>
      <c r="J86">
        <v>100</v>
      </c>
      <c r="K86" t="s">
        <v>45</v>
      </c>
      <c r="L86" t="s">
        <v>16</v>
      </c>
    </row>
    <row r="87" spans="1:12">
      <c r="A87">
        <v>85</v>
      </c>
      <c r="B87">
        <v>2021</v>
      </c>
      <c r="C87" t="s">
        <v>11</v>
      </c>
      <c r="D87" t="s">
        <v>12</v>
      </c>
      <c r="E87" t="s">
        <v>43</v>
      </c>
      <c r="F87">
        <v>110000</v>
      </c>
      <c r="G87" t="s">
        <v>85</v>
      </c>
      <c r="H87">
        <v>28476</v>
      </c>
      <c r="I87" t="s">
        <v>45</v>
      </c>
      <c r="J87">
        <v>100</v>
      </c>
      <c r="K87" t="s">
        <v>45</v>
      </c>
      <c r="L87" t="s">
        <v>16</v>
      </c>
    </row>
    <row r="88" spans="1:12">
      <c r="A88">
        <v>86</v>
      </c>
      <c r="B88">
        <v>2021</v>
      </c>
      <c r="C88" t="s">
        <v>30</v>
      </c>
      <c r="D88" t="s">
        <v>12</v>
      </c>
      <c r="E88" t="s">
        <v>31</v>
      </c>
      <c r="F88">
        <v>50000</v>
      </c>
      <c r="G88" t="s">
        <v>14</v>
      </c>
      <c r="H88">
        <v>59102</v>
      </c>
      <c r="I88" t="s">
        <v>38</v>
      </c>
      <c r="J88">
        <v>50</v>
      </c>
      <c r="K88" t="s">
        <v>38</v>
      </c>
      <c r="L88" t="s">
        <v>25</v>
      </c>
    </row>
    <row r="89" spans="1:12">
      <c r="A89">
        <v>87</v>
      </c>
      <c r="B89">
        <v>2021</v>
      </c>
      <c r="C89" t="s">
        <v>11</v>
      </c>
      <c r="D89" t="s">
        <v>12</v>
      </c>
      <c r="E89" t="s">
        <v>83</v>
      </c>
      <c r="F89">
        <v>110000</v>
      </c>
      <c r="G89" t="s">
        <v>19</v>
      </c>
      <c r="H89">
        <v>110000</v>
      </c>
      <c r="I89" t="s">
        <v>29</v>
      </c>
      <c r="J89">
        <v>100</v>
      </c>
      <c r="K89" t="s">
        <v>29</v>
      </c>
      <c r="L89" t="s">
        <v>16</v>
      </c>
    </row>
    <row r="90" spans="1:12">
      <c r="A90">
        <v>88</v>
      </c>
      <c r="B90">
        <v>2021</v>
      </c>
      <c r="C90" t="s">
        <v>17</v>
      </c>
      <c r="D90" t="s">
        <v>12</v>
      </c>
      <c r="E90" t="s">
        <v>41</v>
      </c>
      <c r="F90">
        <v>170000</v>
      </c>
      <c r="G90" t="s">
        <v>19</v>
      </c>
      <c r="H90">
        <v>170000</v>
      </c>
      <c r="I90" t="s">
        <v>29</v>
      </c>
      <c r="J90">
        <v>100</v>
      </c>
      <c r="K90" t="s">
        <v>29</v>
      </c>
      <c r="L90" t="s">
        <v>16</v>
      </c>
    </row>
    <row r="91" spans="1:12">
      <c r="A91">
        <v>89</v>
      </c>
      <c r="B91">
        <v>2021</v>
      </c>
      <c r="C91" t="s">
        <v>17</v>
      </c>
      <c r="D91" t="s">
        <v>12</v>
      </c>
      <c r="E91" t="s">
        <v>31</v>
      </c>
      <c r="F91">
        <v>80000</v>
      </c>
      <c r="G91" t="s">
        <v>19</v>
      </c>
      <c r="H91">
        <v>80000</v>
      </c>
      <c r="I91" t="s">
        <v>86</v>
      </c>
      <c r="J91">
        <v>100</v>
      </c>
      <c r="K91" t="s">
        <v>29</v>
      </c>
      <c r="L91" t="s">
        <v>21</v>
      </c>
    </row>
    <row r="92" spans="1:12">
      <c r="A92">
        <v>90</v>
      </c>
      <c r="B92">
        <v>2021</v>
      </c>
      <c r="C92" t="s">
        <v>17</v>
      </c>
      <c r="D92" t="s">
        <v>12</v>
      </c>
      <c r="E92" t="s">
        <v>87</v>
      </c>
      <c r="F92">
        <v>75000</v>
      </c>
      <c r="G92" t="s">
        <v>14</v>
      </c>
      <c r="H92">
        <v>88654</v>
      </c>
      <c r="I92" t="s">
        <v>50</v>
      </c>
      <c r="J92">
        <v>100</v>
      </c>
      <c r="K92" t="s">
        <v>72</v>
      </c>
      <c r="L92" t="s">
        <v>16</v>
      </c>
    </row>
    <row r="93" spans="1:12">
      <c r="A93">
        <v>91</v>
      </c>
      <c r="B93">
        <v>2021</v>
      </c>
      <c r="C93" t="s">
        <v>30</v>
      </c>
      <c r="D93" t="s">
        <v>12</v>
      </c>
      <c r="E93" t="s">
        <v>46</v>
      </c>
      <c r="F93">
        <v>65000</v>
      </c>
      <c r="G93" t="s">
        <v>14</v>
      </c>
      <c r="H93">
        <v>76833</v>
      </c>
      <c r="I93" t="s">
        <v>15</v>
      </c>
      <c r="J93">
        <v>100</v>
      </c>
      <c r="K93" t="s">
        <v>15</v>
      </c>
      <c r="L93" t="s">
        <v>21</v>
      </c>
    </row>
    <row r="94" spans="1:12">
      <c r="A94">
        <v>92</v>
      </c>
      <c r="B94">
        <v>2021</v>
      </c>
      <c r="C94" t="s">
        <v>11</v>
      </c>
      <c r="D94" t="s">
        <v>12</v>
      </c>
      <c r="E94" t="s">
        <v>41</v>
      </c>
      <c r="F94">
        <v>1450000</v>
      </c>
      <c r="G94" t="s">
        <v>39</v>
      </c>
      <c r="H94">
        <v>19609</v>
      </c>
      <c r="I94" t="s">
        <v>40</v>
      </c>
      <c r="J94">
        <v>100</v>
      </c>
      <c r="K94" t="s">
        <v>40</v>
      </c>
      <c r="L94" t="s">
        <v>16</v>
      </c>
    </row>
    <row r="95" spans="1:12">
      <c r="A95">
        <v>93</v>
      </c>
      <c r="B95">
        <v>2021</v>
      </c>
      <c r="C95" t="s">
        <v>17</v>
      </c>
      <c r="D95" t="s">
        <v>12</v>
      </c>
      <c r="E95" t="s">
        <v>36</v>
      </c>
      <c r="F95">
        <v>276000</v>
      </c>
      <c r="G95" t="s">
        <v>19</v>
      </c>
      <c r="H95">
        <v>276000</v>
      </c>
      <c r="I95" t="s">
        <v>29</v>
      </c>
      <c r="J95">
        <v>0</v>
      </c>
      <c r="K95" t="s">
        <v>29</v>
      </c>
      <c r="L95" t="s">
        <v>16</v>
      </c>
    </row>
    <row r="96" spans="1:12">
      <c r="A96">
        <v>94</v>
      </c>
      <c r="B96">
        <v>2021</v>
      </c>
      <c r="C96" t="s">
        <v>30</v>
      </c>
      <c r="D96" t="s">
        <v>12</v>
      </c>
      <c r="E96" t="s">
        <v>13</v>
      </c>
      <c r="F96">
        <v>2200000</v>
      </c>
      <c r="G96" t="s">
        <v>39</v>
      </c>
      <c r="H96">
        <v>29751</v>
      </c>
      <c r="I96" t="s">
        <v>40</v>
      </c>
      <c r="J96">
        <v>50</v>
      </c>
      <c r="K96" t="s">
        <v>40</v>
      </c>
      <c r="L96" t="s">
        <v>16</v>
      </c>
    </row>
    <row r="97" spans="1:12">
      <c r="A97">
        <v>95</v>
      </c>
      <c r="B97">
        <v>2021</v>
      </c>
      <c r="C97" t="s">
        <v>11</v>
      </c>
      <c r="D97" t="s">
        <v>12</v>
      </c>
      <c r="E97" t="s">
        <v>88</v>
      </c>
      <c r="F97">
        <v>120000</v>
      </c>
      <c r="G97" t="s">
        <v>89</v>
      </c>
      <c r="H97">
        <v>89294</v>
      </c>
      <c r="I97" t="s">
        <v>90</v>
      </c>
      <c r="J97">
        <v>50</v>
      </c>
      <c r="K97" t="s">
        <v>90</v>
      </c>
      <c r="L97" t="s">
        <v>16</v>
      </c>
    </row>
    <row r="98" spans="1:12">
      <c r="A98">
        <v>96</v>
      </c>
      <c r="B98">
        <v>2021</v>
      </c>
      <c r="C98" t="s">
        <v>30</v>
      </c>
      <c r="D98" t="s">
        <v>47</v>
      </c>
      <c r="E98" t="s">
        <v>70</v>
      </c>
      <c r="F98">
        <v>12000</v>
      </c>
      <c r="G98" t="s">
        <v>19</v>
      </c>
      <c r="H98">
        <v>12000</v>
      </c>
      <c r="I98" t="s">
        <v>91</v>
      </c>
      <c r="J98">
        <v>100</v>
      </c>
      <c r="K98" t="s">
        <v>29</v>
      </c>
      <c r="L98" t="s">
        <v>21</v>
      </c>
    </row>
    <row r="99" spans="1:12">
      <c r="A99">
        <v>97</v>
      </c>
      <c r="B99">
        <v>2021</v>
      </c>
      <c r="C99" t="s">
        <v>11</v>
      </c>
      <c r="D99" t="s">
        <v>12</v>
      </c>
      <c r="E99" t="s">
        <v>92</v>
      </c>
      <c r="F99">
        <v>450000</v>
      </c>
      <c r="G99" t="s">
        <v>19</v>
      </c>
      <c r="H99">
        <v>450000</v>
      </c>
      <c r="I99" t="s">
        <v>29</v>
      </c>
      <c r="J99">
        <v>100</v>
      </c>
      <c r="K99" t="s">
        <v>29</v>
      </c>
      <c r="L99" t="s">
        <v>16</v>
      </c>
    </row>
    <row r="100" spans="1:12">
      <c r="A100">
        <v>98</v>
      </c>
      <c r="B100">
        <v>2021</v>
      </c>
      <c r="C100" t="s">
        <v>30</v>
      </c>
      <c r="D100" t="s">
        <v>12</v>
      </c>
      <c r="E100" t="s">
        <v>93</v>
      </c>
      <c r="F100">
        <v>70000</v>
      </c>
      <c r="G100" t="s">
        <v>19</v>
      </c>
      <c r="H100">
        <v>70000</v>
      </c>
      <c r="I100" t="s">
        <v>29</v>
      </c>
      <c r="J100">
        <v>100</v>
      </c>
      <c r="K100" t="s">
        <v>29</v>
      </c>
      <c r="L100" t="s">
        <v>25</v>
      </c>
    </row>
    <row r="101" spans="1:12">
      <c r="A101">
        <v>99</v>
      </c>
      <c r="B101">
        <v>2021</v>
      </c>
      <c r="C101" t="s">
        <v>11</v>
      </c>
      <c r="D101" t="s">
        <v>12</v>
      </c>
      <c r="E101" t="s">
        <v>93</v>
      </c>
      <c r="F101">
        <v>81000</v>
      </c>
      <c r="G101" t="s">
        <v>14</v>
      </c>
      <c r="H101">
        <v>95746</v>
      </c>
      <c r="I101" t="s">
        <v>15</v>
      </c>
      <c r="J101">
        <v>100</v>
      </c>
      <c r="K101" t="s">
        <v>29</v>
      </c>
      <c r="L101" t="s">
        <v>21</v>
      </c>
    </row>
    <row r="102" spans="1:12">
      <c r="A102">
        <v>100</v>
      </c>
      <c r="B102">
        <v>2021</v>
      </c>
      <c r="C102" t="s">
        <v>11</v>
      </c>
      <c r="D102" t="s">
        <v>12</v>
      </c>
      <c r="E102" t="s">
        <v>31</v>
      </c>
      <c r="F102">
        <v>75000</v>
      </c>
      <c r="G102" t="s">
        <v>19</v>
      </c>
      <c r="H102">
        <v>75000</v>
      </c>
      <c r="I102" t="s">
        <v>29</v>
      </c>
      <c r="J102">
        <v>0</v>
      </c>
      <c r="K102" t="s">
        <v>29</v>
      </c>
      <c r="L102" t="s">
        <v>16</v>
      </c>
    </row>
    <row r="103" spans="1:12">
      <c r="A103">
        <v>101</v>
      </c>
      <c r="B103">
        <v>2021</v>
      </c>
      <c r="C103" t="s">
        <v>17</v>
      </c>
      <c r="D103" t="s">
        <v>12</v>
      </c>
      <c r="E103" t="s">
        <v>43</v>
      </c>
      <c r="F103">
        <v>150000</v>
      </c>
      <c r="G103" t="s">
        <v>19</v>
      </c>
      <c r="H103">
        <v>150000</v>
      </c>
      <c r="I103" t="s">
        <v>29</v>
      </c>
      <c r="J103">
        <v>100</v>
      </c>
      <c r="K103" t="s">
        <v>29</v>
      </c>
      <c r="L103" t="s">
        <v>16</v>
      </c>
    </row>
    <row r="104" spans="1:12">
      <c r="A104">
        <v>102</v>
      </c>
      <c r="B104">
        <v>2021</v>
      </c>
      <c r="C104" t="s">
        <v>11</v>
      </c>
      <c r="D104" t="s">
        <v>12</v>
      </c>
      <c r="E104" t="s">
        <v>51</v>
      </c>
      <c r="F104">
        <v>11000000</v>
      </c>
      <c r="G104" t="s">
        <v>33</v>
      </c>
      <c r="H104">
        <v>36259</v>
      </c>
      <c r="I104" t="s">
        <v>34</v>
      </c>
      <c r="J104">
        <v>50</v>
      </c>
      <c r="K104" t="s">
        <v>29</v>
      </c>
      <c r="L104" t="s">
        <v>16</v>
      </c>
    </row>
    <row r="105" spans="1:12">
      <c r="A105">
        <v>103</v>
      </c>
      <c r="B105">
        <v>2021</v>
      </c>
      <c r="C105" t="s">
        <v>11</v>
      </c>
      <c r="D105" t="s">
        <v>12</v>
      </c>
      <c r="E105" t="s">
        <v>31</v>
      </c>
      <c r="F105">
        <v>62000</v>
      </c>
      <c r="G105" t="s">
        <v>19</v>
      </c>
      <c r="H105">
        <v>62000</v>
      </c>
      <c r="I105" t="s">
        <v>29</v>
      </c>
      <c r="J105">
        <v>0</v>
      </c>
      <c r="K105" t="s">
        <v>29</v>
      </c>
      <c r="L105" t="s">
        <v>16</v>
      </c>
    </row>
    <row r="106" spans="1:12">
      <c r="A106">
        <v>104</v>
      </c>
      <c r="B106">
        <v>2021</v>
      </c>
      <c r="C106" t="s">
        <v>11</v>
      </c>
      <c r="D106" t="s">
        <v>12</v>
      </c>
      <c r="E106" t="s">
        <v>13</v>
      </c>
      <c r="F106">
        <v>73000</v>
      </c>
      <c r="G106" t="s">
        <v>19</v>
      </c>
      <c r="H106">
        <v>73000</v>
      </c>
      <c r="I106" t="s">
        <v>29</v>
      </c>
      <c r="J106">
        <v>0</v>
      </c>
      <c r="K106" t="s">
        <v>29</v>
      </c>
      <c r="L106" t="s">
        <v>16</v>
      </c>
    </row>
    <row r="107" spans="1:12">
      <c r="A107">
        <v>105</v>
      </c>
      <c r="B107">
        <v>2021</v>
      </c>
      <c r="C107" t="s">
        <v>11</v>
      </c>
      <c r="D107" t="s">
        <v>12</v>
      </c>
      <c r="E107" t="s">
        <v>31</v>
      </c>
      <c r="F107">
        <v>37456</v>
      </c>
      <c r="G107" t="s">
        <v>23</v>
      </c>
      <c r="H107">
        <v>51519</v>
      </c>
      <c r="I107" t="s">
        <v>24</v>
      </c>
      <c r="J107">
        <v>50</v>
      </c>
      <c r="K107" t="s">
        <v>24</v>
      </c>
      <c r="L107" t="s">
        <v>16</v>
      </c>
    </row>
    <row r="108" spans="1:12">
      <c r="A108">
        <v>106</v>
      </c>
      <c r="B108">
        <v>2021</v>
      </c>
      <c r="C108" t="s">
        <v>11</v>
      </c>
      <c r="D108" t="s">
        <v>12</v>
      </c>
      <c r="E108" t="s">
        <v>55</v>
      </c>
      <c r="F108">
        <v>235000</v>
      </c>
      <c r="G108" t="s">
        <v>61</v>
      </c>
      <c r="H108">
        <v>187442</v>
      </c>
      <c r="I108" t="s">
        <v>62</v>
      </c>
      <c r="J108">
        <v>100</v>
      </c>
      <c r="K108" t="s">
        <v>62</v>
      </c>
      <c r="L108" t="s">
        <v>16</v>
      </c>
    </row>
    <row r="109" spans="1:12">
      <c r="A109">
        <v>107</v>
      </c>
      <c r="B109">
        <v>2021</v>
      </c>
      <c r="C109" t="s">
        <v>17</v>
      </c>
      <c r="D109" t="s">
        <v>12</v>
      </c>
      <c r="E109" t="s">
        <v>43</v>
      </c>
      <c r="F109">
        <v>115000</v>
      </c>
      <c r="G109" t="s">
        <v>19</v>
      </c>
      <c r="H109">
        <v>115000</v>
      </c>
      <c r="I109" t="s">
        <v>29</v>
      </c>
      <c r="J109">
        <v>100</v>
      </c>
      <c r="K109" t="s">
        <v>29</v>
      </c>
      <c r="L109" t="s">
        <v>21</v>
      </c>
    </row>
    <row r="110" spans="1:12">
      <c r="A110">
        <v>108</v>
      </c>
      <c r="B110">
        <v>2021</v>
      </c>
      <c r="C110" t="s">
        <v>17</v>
      </c>
      <c r="D110" t="s">
        <v>12</v>
      </c>
      <c r="E110" t="s">
        <v>43</v>
      </c>
      <c r="F110">
        <v>150000</v>
      </c>
      <c r="G110" t="s">
        <v>19</v>
      </c>
      <c r="H110">
        <v>150000</v>
      </c>
      <c r="I110" t="s">
        <v>29</v>
      </c>
      <c r="J110">
        <v>100</v>
      </c>
      <c r="K110" t="s">
        <v>29</v>
      </c>
      <c r="L110" t="s">
        <v>25</v>
      </c>
    </row>
    <row r="111" spans="1:12">
      <c r="A111">
        <v>109</v>
      </c>
      <c r="B111">
        <v>2021</v>
      </c>
      <c r="C111" t="s">
        <v>30</v>
      </c>
      <c r="D111" t="s">
        <v>12</v>
      </c>
      <c r="E111" t="s">
        <v>43</v>
      </c>
      <c r="F111">
        <v>2250000</v>
      </c>
      <c r="G111" t="s">
        <v>39</v>
      </c>
      <c r="H111">
        <v>30428</v>
      </c>
      <c r="I111" t="s">
        <v>40</v>
      </c>
      <c r="J111">
        <v>100</v>
      </c>
      <c r="K111" t="s">
        <v>40</v>
      </c>
      <c r="L111" t="s">
        <v>16</v>
      </c>
    </row>
    <row r="112" spans="1:12">
      <c r="A112">
        <v>110</v>
      </c>
      <c r="B112">
        <v>2021</v>
      </c>
      <c r="C112" t="s">
        <v>17</v>
      </c>
      <c r="D112" t="s">
        <v>12</v>
      </c>
      <c r="E112" t="s">
        <v>28</v>
      </c>
      <c r="F112">
        <v>80000</v>
      </c>
      <c r="G112" t="s">
        <v>14</v>
      </c>
      <c r="H112">
        <v>94564</v>
      </c>
      <c r="I112" t="s">
        <v>15</v>
      </c>
      <c r="J112">
        <v>50</v>
      </c>
      <c r="K112" t="s">
        <v>15</v>
      </c>
      <c r="L112" t="s">
        <v>16</v>
      </c>
    </row>
    <row r="113" spans="1:12">
      <c r="A113">
        <v>111</v>
      </c>
      <c r="B113">
        <v>2021</v>
      </c>
      <c r="C113" t="s">
        <v>17</v>
      </c>
      <c r="D113" t="s">
        <v>12</v>
      </c>
      <c r="E113" t="s">
        <v>94</v>
      </c>
      <c r="F113">
        <v>82500</v>
      </c>
      <c r="G113" t="s">
        <v>23</v>
      </c>
      <c r="H113">
        <v>113476</v>
      </c>
      <c r="I113" t="s">
        <v>24</v>
      </c>
      <c r="J113">
        <v>100</v>
      </c>
      <c r="K113" t="s">
        <v>24</v>
      </c>
      <c r="L113" t="s">
        <v>25</v>
      </c>
    </row>
    <row r="114" spans="1:12">
      <c r="A114">
        <v>112</v>
      </c>
      <c r="B114">
        <v>2021</v>
      </c>
      <c r="C114" t="s">
        <v>17</v>
      </c>
      <c r="D114" t="s">
        <v>12</v>
      </c>
      <c r="E114" t="s">
        <v>36</v>
      </c>
      <c r="F114">
        <v>75000</v>
      </c>
      <c r="G114" t="s">
        <v>23</v>
      </c>
      <c r="H114">
        <v>103160</v>
      </c>
      <c r="I114" t="s">
        <v>24</v>
      </c>
      <c r="J114">
        <v>100</v>
      </c>
      <c r="K114" t="s">
        <v>24</v>
      </c>
      <c r="L114" t="s">
        <v>21</v>
      </c>
    </row>
    <row r="115" spans="1:12">
      <c r="A115">
        <v>113</v>
      </c>
      <c r="B115">
        <v>2021</v>
      </c>
      <c r="C115" t="s">
        <v>30</v>
      </c>
      <c r="D115" t="s">
        <v>47</v>
      </c>
      <c r="E115" t="s">
        <v>70</v>
      </c>
      <c r="F115">
        <v>12000</v>
      </c>
      <c r="G115" t="s">
        <v>19</v>
      </c>
      <c r="H115">
        <v>12000</v>
      </c>
      <c r="I115" t="s">
        <v>42</v>
      </c>
      <c r="J115">
        <v>100</v>
      </c>
      <c r="K115" t="s">
        <v>29</v>
      </c>
      <c r="L115" t="s">
        <v>25</v>
      </c>
    </row>
    <row r="116" spans="1:12">
      <c r="A116">
        <v>114</v>
      </c>
      <c r="B116">
        <v>2021</v>
      </c>
      <c r="C116" t="s">
        <v>11</v>
      </c>
      <c r="D116" t="s">
        <v>12</v>
      </c>
      <c r="E116" t="s">
        <v>43</v>
      </c>
      <c r="F116">
        <v>38400</v>
      </c>
      <c r="G116" t="s">
        <v>14</v>
      </c>
      <c r="H116">
        <v>45391</v>
      </c>
      <c r="I116" t="s">
        <v>56</v>
      </c>
      <c r="J116">
        <v>100</v>
      </c>
      <c r="K116" t="s">
        <v>56</v>
      </c>
      <c r="L116" t="s">
        <v>16</v>
      </c>
    </row>
    <row r="117" spans="1:12">
      <c r="A117">
        <v>115</v>
      </c>
      <c r="B117">
        <v>2021</v>
      </c>
      <c r="C117" t="s">
        <v>30</v>
      </c>
      <c r="D117" t="s">
        <v>12</v>
      </c>
      <c r="E117" t="s">
        <v>18</v>
      </c>
      <c r="F117">
        <v>225000</v>
      </c>
      <c r="G117" t="s">
        <v>19</v>
      </c>
      <c r="H117">
        <v>225000</v>
      </c>
      <c r="I117" t="s">
        <v>29</v>
      </c>
      <c r="J117">
        <v>100</v>
      </c>
      <c r="K117" t="s">
        <v>29</v>
      </c>
      <c r="L117" t="s">
        <v>16</v>
      </c>
    </row>
    <row r="118" spans="1:12">
      <c r="A118">
        <v>116</v>
      </c>
      <c r="B118">
        <v>2021</v>
      </c>
      <c r="C118" t="s">
        <v>11</v>
      </c>
      <c r="D118" t="s">
        <v>12</v>
      </c>
      <c r="E118" t="s">
        <v>13</v>
      </c>
      <c r="F118">
        <v>50000</v>
      </c>
      <c r="G118" t="s">
        <v>19</v>
      </c>
      <c r="H118">
        <v>50000</v>
      </c>
      <c r="I118" t="s">
        <v>65</v>
      </c>
      <c r="J118">
        <v>100</v>
      </c>
      <c r="K118" t="s">
        <v>65</v>
      </c>
      <c r="L118" t="s">
        <v>16</v>
      </c>
    </row>
    <row r="119" spans="1:12">
      <c r="A119">
        <v>117</v>
      </c>
      <c r="B119">
        <v>2021</v>
      </c>
      <c r="C119" t="s">
        <v>11</v>
      </c>
      <c r="D119" t="s">
        <v>12</v>
      </c>
      <c r="E119" t="s">
        <v>95</v>
      </c>
      <c r="F119">
        <v>34000</v>
      </c>
      <c r="G119" t="s">
        <v>14</v>
      </c>
      <c r="H119">
        <v>40189</v>
      </c>
      <c r="I119" t="s">
        <v>50</v>
      </c>
      <c r="J119">
        <v>100</v>
      </c>
      <c r="K119" t="s">
        <v>50</v>
      </c>
      <c r="L119" t="s">
        <v>25</v>
      </c>
    </row>
    <row r="120" spans="1:12">
      <c r="A120">
        <v>118</v>
      </c>
      <c r="B120">
        <v>2021</v>
      </c>
      <c r="C120" t="s">
        <v>30</v>
      </c>
      <c r="D120" t="s">
        <v>12</v>
      </c>
      <c r="E120" t="s">
        <v>31</v>
      </c>
      <c r="F120">
        <v>90000</v>
      </c>
      <c r="G120" t="s">
        <v>19</v>
      </c>
      <c r="H120">
        <v>90000</v>
      </c>
      <c r="I120" t="s">
        <v>29</v>
      </c>
      <c r="J120">
        <v>100</v>
      </c>
      <c r="K120" t="s">
        <v>29</v>
      </c>
      <c r="L120" t="s">
        <v>21</v>
      </c>
    </row>
    <row r="121" spans="1:12">
      <c r="A121">
        <v>119</v>
      </c>
      <c r="B121">
        <v>2021</v>
      </c>
      <c r="C121" t="s">
        <v>11</v>
      </c>
      <c r="D121" t="s">
        <v>12</v>
      </c>
      <c r="E121" t="s">
        <v>43</v>
      </c>
      <c r="F121">
        <v>200000</v>
      </c>
      <c r="G121" t="s">
        <v>19</v>
      </c>
      <c r="H121">
        <v>200000</v>
      </c>
      <c r="I121" t="s">
        <v>29</v>
      </c>
      <c r="J121">
        <v>100</v>
      </c>
      <c r="K121" t="s">
        <v>29</v>
      </c>
      <c r="L121" t="s">
        <v>16</v>
      </c>
    </row>
    <row r="122" spans="1:12">
      <c r="A122">
        <v>120</v>
      </c>
      <c r="B122">
        <v>2021</v>
      </c>
      <c r="C122" t="s">
        <v>11</v>
      </c>
      <c r="D122" t="s">
        <v>12</v>
      </c>
      <c r="E122" t="s">
        <v>22</v>
      </c>
      <c r="F122">
        <v>60000</v>
      </c>
      <c r="G122" t="s">
        <v>19</v>
      </c>
      <c r="H122">
        <v>60000</v>
      </c>
      <c r="I122" t="s">
        <v>67</v>
      </c>
      <c r="J122">
        <v>50</v>
      </c>
      <c r="K122" t="s">
        <v>96</v>
      </c>
      <c r="L122" t="s">
        <v>25</v>
      </c>
    </row>
    <row r="123" spans="1:12">
      <c r="A123">
        <v>121</v>
      </c>
      <c r="B123">
        <v>2021</v>
      </c>
      <c r="C123" t="s">
        <v>17</v>
      </c>
      <c r="D123" t="s">
        <v>12</v>
      </c>
      <c r="E123" t="s">
        <v>97</v>
      </c>
      <c r="F123">
        <v>200000</v>
      </c>
      <c r="G123" t="s">
        <v>19</v>
      </c>
      <c r="H123">
        <v>200000</v>
      </c>
      <c r="I123" t="s">
        <v>29</v>
      </c>
      <c r="J123">
        <v>100</v>
      </c>
      <c r="K123" t="s">
        <v>29</v>
      </c>
      <c r="L123" t="s">
        <v>25</v>
      </c>
    </row>
    <row r="124" spans="1:12">
      <c r="A124">
        <v>122</v>
      </c>
      <c r="B124">
        <v>2021</v>
      </c>
      <c r="C124" t="s">
        <v>30</v>
      </c>
      <c r="D124" t="s">
        <v>12</v>
      </c>
      <c r="E124" t="s">
        <v>31</v>
      </c>
      <c r="F124">
        <v>50000</v>
      </c>
      <c r="G124" t="s">
        <v>19</v>
      </c>
      <c r="H124">
        <v>50000</v>
      </c>
      <c r="I124" t="s">
        <v>29</v>
      </c>
      <c r="J124">
        <v>100</v>
      </c>
      <c r="K124" t="s">
        <v>29</v>
      </c>
      <c r="L124" t="s">
        <v>25</v>
      </c>
    </row>
    <row r="125" spans="1:12">
      <c r="A125">
        <v>123</v>
      </c>
      <c r="B125">
        <v>2021</v>
      </c>
      <c r="C125" t="s">
        <v>30</v>
      </c>
      <c r="D125" t="s">
        <v>12</v>
      </c>
      <c r="E125" t="s">
        <v>84</v>
      </c>
      <c r="F125">
        <v>80000</v>
      </c>
      <c r="G125" t="s">
        <v>23</v>
      </c>
      <c r="H125">
        <v>110037</v>
      </c>
      <c r="I125" t="s">
        <v>24</v>
      </c>
      <c r="J125">
        <v>0</v>
      </c>
      <c r="K125" t="s">
        <v>24</v>
      </c>
      <c r="L125" t="s">
        <v>16</v>
      </c>
    </row>
    <row r="126" spans="1:12">
      <c r="A126">
        <v>124</v>
      </c>
      <c r="B126">
        <v>2021</v>
      </c>
      <c r="C126" t="s">
        <v>30</v>
      </c>
      <c r="D126" t="s">
        <v>47</v>
      </c>
      <c r="E126" t="s">
        <v>31</v>
      </c>
      <c r="F126">
        <v>8760</v>
      </c>
      <c r="G126" t="s">
        <v>14</v>
      </c>
      <c r="H126">
        <v>10354</v>
      </c>
      <c r="I126" t="s">
        <v>67</v>
      </c>
      <c r="J126">
        <v>50</v>
      </c>
      <c r="K126" t="s">
        <v>67</v>
      </c>
      <c r="L126" t="s">
        <v>25</v>
      </c>
    </row>
    <row r="127" spans="1:12">
      <c r="A127">
        <v>125</v>
      </c>
      <c r="B127">
        <v>2021</v>
      </c>
      <c r="C127" t="s">
        <v>11</v>
      </c>
      <c r="D127" t="s">
        <v>12</v>
      </c>
      <c r="E127" t="s">
        <v>76</v>
      </c>
      <c r="F127">
        <v>151000</v>
      </c>
      <c r="G127" t="s">
        <v>19</v>
      </c>
      <c r="H127">
        <v>151000</v>
      </c>
      <c r="I127" t="s">
        <v>29</v>
      </c>
      <c r="J127">
        <v>100</v>
      </c>
      <c r="K127" t="s">
        <v>29</v>
      </c>
      <c r="L127" t="s">
        <v>16</v>
      </c>
    </row>
    <row r="128" spans="1:12">
      <c r="A128">
        <v>126</v>
      </c>
      <c r="B128">
        <v>2021</v>
      </c>
      <c r="C128" t="s">
        <v>17</v>
      </c>
      <c r="D128" t="s">
        <v>12</v>
      </c>
      <c r="E128" t="s">
        <v>18</v>
      </c>
      <c r="F128">
        <v>120000</v>
      </c>
      <c r="G128" t="s">
        <v>19</v>
      </c>
      <c r="H128">
        <v>120000</v>
      </c>
      <c r="I128" t="s">
        <v>29</v>
      </c>
      <c r="J128">
        <v>50</v>
      </c>
      <c r="K128" t="s">
        <v>29</v>
      </c>
      <c r="L128" t="s">
        <v>21</v>
      </c>
    </row>
    <row r="129" spans="1:12">
      <c r="A129">
        <v>127</v>
      </c>
      <c r="B129">
        <v>2021</v>
      </c>
      <c r="C129" t="s">
        <v>11</v>
      </c>
      <c r="D129" t="s">
        <v>12</v>
      </c>
      <c r="E129" t="s">
        <v>13</v>
      </c>
      <c r="F129">
        <v>700000</v>
      </c>
      <c r="G129" t="s">
        <v>39</v>
      </c>
      <c r="H129">
        <v>9466</v>
      </c>
      <c r="I129" t="s">
        <v>40</v>
      </c>
      <c r="J129">
        <v>0</v>
      </c>
      <c r="K129" t="s">
        <v>40</v>
      </c>
      <c r="L129" t="s">
        <v>21</v>
      </c>
    </row>
    <row r="130" spans="1:12">
      <c r="A130">
        <v>128</v>
      </c>
      <c r="B130">
        <v>2021</v>
      </c>
      <c r="C130" t="s">
        <v>30</v>
      </c>
      <c r="D130" t="s">
        <v>12</v>
      </c>
      <c r="E130" t="s">
        <v>28</v>
      </c>
      <c r="F130">
        <v>20000</v>
      </c>
      <c r="G130" t="s">
        <v>19</v>
      </c>
      <c r="H130">
        <v>20000</v>
      </c>
      <c r="I130" t="s">
        <v>40</v>
      </c>
      <c r="J130">
        <v>100</v>
      </c>
      <c r="K130" t="s">
        <v>40</v>
      </c>
      <c r="L130" t="s">
        <v>21</v>
      </c>
    </row>
    <row r="131" spans="1:12">
      <c r="A131">
        <v>129</v>
      </c>
      <c r="B131">
        <v>2021</v>
      </c>
      <c r="C131" t="s">
        <v>17</v>
      </c>
      <c r="D131" t="s">
        <v>12</v>
      </c>
      <c r="E131" t="s">
        <v>32</v>
      </c>
      <c r="F131">
        <v>3000000</v>
      </c>
      <c r="G131" t="s">
        <v>39</v>
      </c>
      <c r="H131">
        <v>40570</v>
      </c>
      <c r="I131" t="s">
        <v>40</v>
      </c>
      <c r="J131">
        <v>50</v>
      </c>
      <c r="K131" t="s">
        <v>40</v>
      </c>
      <c r="L131" t="s">
        <v>16</v>
      </c>
    </row>
    <row r="132" spans="1:12">
      <c r="A132">
        <v>130</v>
      </c>
      <c r="B132">
        <v>2021</v>
      </c>
      <c r="C132" t="s">
        <v>30</v>
      </c>
      <c r="D132" t="s">
        <v>12</v>
      </c>
      <c r="E132" t="s">
        <v>98</v>
      </c>
      <c r="F132">
        <v>100000</v>
      </c>
      <c r="G132" t="s">
        <v>19</v>
      </c>
      <c r="H132">
        <v>100000</v>
      </c>
      <c r="I132" t="s">
        <v>99</v>
      </c>
      <c r="J132">
        <v>50</v>
      </c>
      <c r="K132" t="s">
        <v>99</v>
      </c>
      <c r="L132" t="s">
        <v>21</v>
      </c>
    </row>
    <row r="133" spans="1:12">
      <c r="A133">
        <v>131</v>
      </c>
      <c r="B133">
        <v>2021</v>
      </c>
      <c r="C133" t="s">
        <v>30</v>
      </c>
      <c r="D133" t="s">
        <v>12</v>
      </c>
      <c r="E133" t="s">
        <v>13</v>
      </c>
      <c r="F133">
        <v>42000</v>
      </c>
      <c r="G133" t="s">
        <v>14</v>
      </c>
      <c r="H133">
        <v>49646</v>
      </c>
      <c r="I133" t="s">
        <v>38</v>
      </c>
      <c r="J133">
        <v>50</v>
      </c>
      <c r="K133" t="s">
        <v>38</v>
      </c>
      <c r="L133" t="s">
        <v>25</v>
      </c>
    </row>
    <row r="134" spans="1:12">
      <c r="A134">
        <v>132</v>
      </c>
      <c r="B134">
        <v>2021</v>
      </c>
      <c r="C134" t="s">
        <v>11</v>
      </c>
      <c r="D134" t="s">
        <v>12</v>
      </c>
      <c r="E134" t="s">
        <v>100</v>
      </c>
      <c r="F134">
        <v>38400</v>
      </c>
      <c r="G134" t="s">
        <v>19</v>
      </c>
      <c r="H134">
        <v>38400</v>
      </c>
      <c r="I134" t="s">
        <v>101</v>
      </c>
      <c r="J134">
        <v>100</v>
      </c>
      <c r="K134" t="s">
        <v>29</v>
      </c>
      <c r="L134" t="s">
        <v>25</v>
      </c>
    </row>
    <row r="135" spans="1:12">
      <c r="A135">
        <v>133</v>
      </c>
      <c r="B135">
        <v>2021</v>
      </c>
      <c r="C135" t="s">
        <v>17</v>
      </c>
      <c r="D135" t="s">
        <v>12</v>
      </c>
      <c r="E135" t="s">
        <v>74</v>
      </c>
      <c r="F135">
        <v>24000</v>
      </c>
      <c r="G135" t="s">
        <v>19</v>
      </c>
      <c r="H135">
        <v>24000</v>
      </c>
      <c r="I135" t="s">
        <v>91</v>
      </c>
      <c r="J135">
        <v>100</v>
      </c>
      <c r="K135" t="s">
        <v>91</v>
      </c>
      <c r="L135" t="s">
        <v>25</v>
      </c>
    </row>
    <row r="136" spans="1:12">
      <c r="A136">
        <v>134</v>
      </c>
      <c r="B136">
        <v>2021</v>
      </c>
      <c r="C136" t="s">
        <v>30</v>
      </c>
      <c r="D136" t="s">
        <v>12</v>
      </c>
      <c r="E136" t="s">
        <v>13</v>
      </c>
      <c r="F136">
        <v>100000</v>
      </c>
      <c r="G136" t="s">
        <v>19</v>
      </c>
      <c r="H136">
        <v>100000</v>
      </c>
      <c r="I136" t="s">
        <v>29</v>
      </c>
      <c r="J136">
        <v>0</v>
      </c>
      <c r="K136" t="s">
        <v>29</v>
      </c>
      <c r="L136" t="s">
        <v>21</v>
      </c>
    </row>
    <row r="137" spans="1:12">
      <c r="A137">
        <v>135</v>
      </c>
      <c r="B137">
        <v>2021</v>
      </c>
      <c r="C137" t="s">
        <v>11</v>
      </c>
      <c r="D137" t="s">
        <v>12</v>
      </c>
      <c r="E137" t="s">
        <v>31</v>
      </c>
      <c r="F137">
        <v>90000</v>
      </c>
      <c r="G137" t="s">
        <v>19</v>
      </c>
      <c r="H137">
        <v>90000</v>
      </c>
      <c r="I137" t="s">
        <v>29</v>
      </c>
      <c r="J137">
        <v>100</v>
      </c>
      <c r="K137" t="s">
        <v>29</v>
      </c>
      <c r="L137" t="s">
        <v>25</v>
      </c>
    </row>
    <row r="138" spans="1:12">
      <c r="A138">
        <v>136</v>
      </c>
      <c r="B138">
        <v>2021</v>
      </c>
      <c r="C138" t="s">
        <v>11</v>
      </c>
      <c r="D138" t="s">
        <v>12</v>
      </c>
      <c r="E138" t="s">
        <v>69</v>
      </c>
      <c r="F138">
        <v>7000000</v>
      </c>
      <c r="G138" t="s">
        <v>44</v>
      </c>
      <c r="H138">
        <v>63711</v>
      </c>
      <c r="I138" t="s">
        <v>20</v>
      </c>
      <c r="J138">
        <v>50</v>
      </c>
      <c r="K138" t="s">
        <v>20</v>
      </c>
      <c r="L138" t="s">
        <v>21</v>
      </c>
    </row>
    <row r="139" spans="1:12">
      <c r="A139">
        <v>137</v>
      </c>
      <c r="B139">
        <v>2021</v>
      </c>
      <c r="C139" t="s">
        <v>11</v>
      </c>
      <c r="D139" t="s">
        <v>12</v>
      </c>
      <c r="E139" t="s">
        <v>69</v>
      </c>
      <c r="F139">
        <v>8500000</v>
      </c>
      <c r="G139" t="s">
        <v>44</v>
      </c>
      <c r="H139">
        <v>77364</v>
      </c>
      <c r="I139" t="s">
        <v>20</v>
      </c>
      <c r="J139">
        <v>50</v>
      </c>
      <c r="K139" t="s">
        <v>20</v>
      </c>
      <c r="L139" t="s">
        <v>21</v>
      </c>
    </row>
    <row r="140" spans="1:12">
      <c r="A140">
        <v>138</v>
      </c>
      <c r="B140">
        <v>2021</v>
      </c>
      <c r="C140" t="s">
        <v>17</v>
      </c>
      <c r="D140" t="s">
        <v>12</v>
      </c>
      <c r="E140" t="s">
        <v>76</v>
      </c>
      <c r="F140">
        <v>220000</v>
      </c>
      <c r="G140" t="s">
        <v>19</v>
      </c>
      <c r="H140">
        <v>220000</v>
      </c>
      <c r="I140" t="s">
        <v>29</v>
      </c>
      <c r="J140">
        <v>0</v>
      </c>
      <c r="K140" t="s">
        <v>29</v>
      </c>
      <c r="L140" t="s">
        <v>16</v>
      </c>
    </row>
    <row r="141" spans="1:12">
      <c r="A141">
        <v>139</v>
      </c>
      <c r="B141">
        <v>2021</v>
      </c>
      <c r="C141" t="s">
        <v>30</v>
      </c>
      <c r="D141" t="s">
        <v>12</v>
      </c>
      <c r="E141" t="s">
        <v>13</v>
      </c>
      <c r="F141">
        <v>80000</v>
      </c>
      <c r="G141" t="s">
        <v>19</v>
      </c>
      <c r="H141">
        <v>80000</v>
      </c>
      <c r="I141" t="s">
        <v>29</v>
      </c>
      <c r="J141">
        <v>100</v>
      </c>
      <c r="K141" t="s">
        <v>29</v>
      </c>
      <c r="L141" t="s">
        <v>25</v>
      </c>
    </row>
    <row r="142" spans="1:12">
      <c r="A142">
        <v>140</v>
      </c>
      <c r="B142">
        <v>2021</v>
      </c>
      <c r="C142" t="s">
        <v>11</v>
      </c>
      <c r="D142" t="s">
        <v>12</v>
      </c>
      <c r="E142" t="s">
        <v>31</v>
      </c>
      <c r="F142">
        <v>135000</v>
      </c>
      <c r="G142" t="s">
        <v>19</v>
      </c>
      <c r="H142">
        <v>135000</v>
      </c>
      <c r="I142" t="s">
        <v>29</v>
      </c>
      <c r="J142">
        <v>100</v>
      </c>
      <c r="K142" t="s">
        <v>29</v>
      </c>
      <c r="L142" t="s">
        <v>16</v>
      </c>
    </row>
    <row r="143" spans="1:12">
      <c r="A143">
        <v>141</v>
      </c>
      <c r="B143">
        <v>2021</v>
      </c>
      <c r="C143" t="s">
        <v>17</v>
      </c>
      <c r="D143" t="s">
        <v>12</v>
      </c>
      <c r="E143" t="s">
        <v>79</v>
      </c>
      <c r="F143">
        <v>240000</v>
      </c>
      <c r="G143" t="s">
        <v>19</v>
      </c>
      <c r="H143">
        <v>240000</v>
      </c>
      <c r="I143" t="s">
        <v>29</v>
      </c>
      <c r="J143">
        <v>0</v>
      </c>
      <c r="K143" t="s">
        <v>29</v>
      </c>
      <c r="L143" t="s">
        <v>16</v>
      </c>
    </row>
    <row r="144" spans="1:12">
      <c r="A144">
        <v>142</v>
      </c>
      <c r="B144">
        <v>2021</v>
      </c>
      <c r="C144" t="s">
        <v>17</v>
      </c>
      <c r="D144" t="s">
        <v>12</v>
      </c>
      <c r="E144" t="s">
        <v>63</v>
      </c>
      <c r="F144">
        <v>150000</v>
      </c>
      <c r="G144" t="s">
        <v>19</v>
      </c>
      <c r="H144">
        <v>150000</v>
      </c>
      <c r="I144" t="s">
        <v>29</v>
      </c>
      <c r="J144">
        <v>0</v>
      </c>
      <c r="K144" t="s">
        <v>29</v>
      </c>
      <c r="L144" t="s">
        <v>16</v>
      </c>
    </row>
    <row r="145" spans="1:12">
      <c r="A145">
        <v>143</v>
      </c>
      <c r="B145">
        <v>2021</v>
      </c>
      <c r="C145" t="s">
        <v>11</v>
      </c>
      <c r="D145" t="s">
        <v>12</v>
      </c>
      <c r="E145" t="s">
        <v>13</v>
      </c>
      <c r="F145">
        <v>82500</v>
      </c>
      <c r="G145" t="s">
        <v>19</v>
      </c>
      <c r="H145">
        <v>82500</v>
      </c>
      <c r="I145" t="s">
        <v>29</v>
      </c>
      <c r="J145">
        <v>100</v>
      </c>
      <c r="K145" t="s">
        <v>29</v>
      </c>
      <c r="L145" t="s">
        <v>21</v>
      </c>
    </row>
    <row r="146" spans="1:12">
      <c r="A146">
        <v>144</v>
      </c>
      <c r="B146">
        <v>2021</v>
      </c>
      <c r="C146" t="s">
        <v>11</v>
      </c>
      <c r="D146" t="s">
        <v>12</v>
      </c>
      <c r="E146" t="s">
        <v>43</v>
      </c>
      <c r="F146">
        <v>100000</v>
      </c>
      <c r="G146" t="s">
        <v>19</v>
      </c>
      <c r="H146">
        <v>100000</v>
      </c>
      <c r="I146" t="s">
        <v>29</v>
      </c>
      <c r="J146">
        <v>100</v>
      </c>
      <c r="K146" t="s">
        <v>29</v>
      </c>
      <c r="L146" t="s">
        <v>16</v>
      </c>
    </row>
    <row r="147" spans="1:12">
      <c r="A147">
        <v>145</v>
      </c>
      <c r="B147">
        <v>2021</v>
      </c>
      <c r="C147" t="s">
        <v>17</v>
      </c>
      <c r="D147" t="s">
        <v>12</v>
      </c>
      <c r="E147" t="s">
        <v>28</v>
      </c>
      <c r="F147">
        <v>70000</v>
      </c>
      <c r="G147" t="s">
        <v>14</v>
      </c>
      <c r="H147">
        <v>82744</v>
      </c>
      <c r="I147" t="s">
        <v>102</v>
      </c>
      <c r="J147">
        <v>50</v>
      </c>
      <c r="K147" t="s">
        <v>102</v>
      </c>
      <c r="L147" t="s">
        <v>25</v>
      </c>
    </row>
    <row r="148" spans="1:12">
      <c r="A148">
        <v>146</v>
      </c>
      <c r="B148">
        <v>2021</v>
      </c>
      <c r="C148" t="s">
        <v>11</v>
      </c>
      <c r="D148" t="s">
        <v>12</v>
      </c>
      <c r="E148" t="s">
        <v>55</v>
      </c>
      <c r="F148">
        <v>53000</v>
      </c>
      <c r="G148" t="s">
        <v>14</v>
      </c>
      <c r="H148">
        <v>62649</v>
      </c>
      <c r="I148" t="s">
        <v>38</v>
      </c>
      <c r="J148">
        <v>50</v>
      </c>
      <c r="K148" t="s">
        <v>38</v>
      </c>
      <c r="L148" t="s">
        <v>25</v>
      </c>
    </row>
    <row r="149" spans="1:12">
      <c r="A149">
        <v>147</v>
      </c>
      <c r="B149">
        <v>2021</v>
      </c>
      <c r="C149" t="s">
        <v>11</v>
      </c>
      <c r="D149" t="s">
        <v>12</v>
      </c>
      <c r="E149" t="s">
        <v>43</v>
      </c>
      <c r="F149">
        <v>90000</v>
      </c>
      <c r="G149" t="s">
        <v>19</v>
      </c>
      <c r="H149">
        <v>90000</v>
      </c>
      <c r="I149" t="s">
        <v>29</v>
      </c>
      <c r="J149">
        <v>100</v>
      </c>
      <c r="K149" t="s">
        <v>29</v>
      </c>
      <c r="L149" t="s">
        <v>16</v>
      </c>
    </row>
    <row r="150" spans="1:12">
      <c r="A150">
        <v>148</v>
      </c>
      <c r="B150">
        <v>2021</v>
      </c>
      <c r="C150" t="s">
        <v>17</v>
      </c>
      <c r="D150" t="s">
        <v>12</v>
      </c>
      <c r="E150" t="s">
        <v>63</v>
      </c>
      <c r="F150">
        <v>153000</v>
      </c>
      <c r="G150" t="s">
        <v>19</v>
      </c>
      <c r="H150">
        <v>153000</v>
      </c>
      <c r="I150" t="s">
        <v>29</v>
      </c>
      <c r="J150">
        <v>100</v>
      </c>
      <c r="K150" t="s">
        <v>29</v>
      </c>
      <c r="L150" t="s">
        <v>16</v>
      </c>
    </row>
    <row r="151" spans="1:12">
      <c r="A151">
        <v>149</v>
      </c>
      <c r="B151">
        <v>2021</v>
      </c>
      <c r="C151" t="s">
        <v>17</v>
      </c>
      <c r="D151" t="s">
        <v>12</v>
      </c>
      <c r="E151" t="s">
        <v>88</v>
      </c>
      <c r="F151">
        <v>160000</v>
      </c>
      <c r="G151" t="s">
        <v>19</v>
      </c>
      <c r="H151">
        <v>160000</v>
      </c>
      <c r="I151" t="s">
        <v>91</v>
      </c>
      <c r="J151">
        <v>100</v>
      </c>
      <c r="K151" t="s">
        <v>29</v>
      </c>
      <c r="L151" t="s">
        <v>21</v>
      </c>
    </row>
    <row r="152" spans="1:12">
      <c r="A152">
        <v>150</v>
      </c>
      <c r="B152">
        <v>2021</v>
      </c>
      <c r="C152" t="s">
        <v>17</v>
      </c>
      <c r="D152" t="s">
        <v>12</v>
      </c>
      <c r="E152" t="s">
        <v>54</v>
      </c>
      <c r="F152">
        <v>168000</v>
      </c>
      <c r="G152" t="s">
        <v>19</v>
      </c>
      <c r="H152">
        <v>168000</v>
      </c>
      <c r="I152" t="s">
        <v>20</v>
      </c>
      <c r="J152">
        <v>0</v>
      </c>
      <c r="K152" t="s">
        <v>20</v>
      </c>
      <c r="L152" t="s">
        <v>21</v>
      </c>
    </row>
    <row r="153" spans="1:12">
      <c r="A153">
        <v>151</v>
      </c>
      <c r="B153">
        <v>2021</v>
      </c>
      <c r="C153" t="s">
        <v>11</v>
      </c>
      <c r="D153" t="s">
        <v>12</v>
      </c>
      <c r="E153" t="s">
        <v>13</v>
      </c>
      <c r="F153">
        <v>150000</v>
      </c>
      <c r="G153" t="s">
        <v>19</v>
      </c>
      <c r="H153">
        <v>150000</v>
      </c>
      <c r="I153" t="s">
        <v>29</v>
      </c>
      <c r="J153">
        <v>100</v>
      </c>
      <c r="K153" t="s">
        <v>29</v>
      </c>
      <c r="L153" t="s">
        <v>25</v>
      </c>
    </row>
    <row r="154" spans="1:12">
      <c r="A154">
        <v>152</v>
      </c>
      <c r="B154">
        <v>2021</v>
      </c>
      <c r="C154" t="s">
        <v>11</v>
      </c>
      <c r="D154" t="s">
        <v>12</v>
      </c>
      <c r="E154" t="s">
        <v>13</v>
      </c>
      <c r="F154">
        <v>95000</v>
      </c>
      <c r="G154" t="s">
        <v>61</v>
      </c>
      <c r="H154">
        <v>75774</v>
      </c>
      <c r="I154" t="s">
        <v>62</v>
      </c>
      <c r="J154">
        <v>100</v>
      </c>
      <c r="K154" t="s">
        <v>62</v>
      </c>
      <c r="L154" t="s">
        <v>16</v>
      </c>
    </row>
    <row r="155" spans="1:12">
      <c r="A155">
        <v>153</v>
      </c>
      <c r="B155">
        <v>2021</v>
      </c>
      <c r="C155" t="s">
        <v>30</v>
      </c>
      <c r="D155" t="s">
        <v>12</v>
      </c>
      <c r="E155" t="s">
        <v>13</v>
      </c>
      <c r="F155">
        <v>13400</v>
      </c>
      <c r="G155" t="s">
        <v>19</v>
      </c>
      <c r="H155">
        <v>13400</v>
      </c>
      <c r="I155" t="s">
        <v>103</v>
      </c>
      <c r="J155">
        <v>100</v>
      </c>
      <c r="K155" t="s">
        <v>103</v>
      </c>
      <c r="L155" t="s">
        <v>16</v>
      </c>
    </row>
    <row r="156" spans="1:12">
      <c r="A156">
        <v>154</v>
      </c>
      <c r="B156">
        <v>2021</v>
      </c>
      <c r="C156" t="s">
        <v>17</v>
      </c>
      <c r="D156" t="s">
        <v>12</v>
      </c>
      <c r="E156" t="s">
        <v>79</v>
      </c>
      <c r="F156">
        <v>144000</v>
      </c>
      <c r="G156" t="s">
        <v>19</v>
      </c>
      <c r="H156">
        <v>144000</v>
      </c>
      <c r="I156" t="s">
        <v>29</v>
      </c>
      <c r="J156">
        <v>100</v>
      </c>
      <c r="K156" t="s">
        <v>29</v>
      </c>
      <c r="L156" t="s">
        <v>16</v>
      </c>
    </row>
    <row r="157" spans="1:12">
      <c r="A157">
        <v>155</v>
      </c>
      <c r="B157">
        <v>2021</v>
      </c>
      <c r="C157" t="s">
        <v>17</v>
      </c>
      <c r="D157" t="s">
        <v>12</v>
      </c>
      <c r="E157" t="s">
        <v>95</v>
      </c>
      <c r="F157">
        <v>159500</v>
      </c>
      <c r="G157" t="s">
        <v>61</v>
      </c>
      <c r="H157">
        <v>127221</v>
      </c>
      <c r="I157" t="s">
        <v>62</v>
      </c>
      <c r="J157">
        <v>50</v>
      </c>
      <c r="K157" t="s">
        <v>62</v>
      </c>
      <c r="L157" t="s">
        <v>16</v>
      </c>
    </row>
    <row r="158" spans="1:12">
      <c r="A158">
        <v>156</v>
      </c>
      <c r="B158">
        <v>2021</v>
      </c>
      <c r="C158" t="s">
        <v>11</v>
      </c>
      <c r="D158" t="s">
        <v>12</v>
      </c>
      <c r="E158" t="s">
        <v>13</v>
      </c>
      <c r="F158">
        <v>160000</v>
      </c>
      <c r="G158" t="s">
        <v>89</v>
      </c>
      <c r="H158">
        <v>119059</v>
      </c>
      <c r="I158" t="s">
        <v>90</v>
      </c>
      <c r="J158">
        <v>100</v>
      </c>
      <c r="K158" t="s">
        <v>104</v>
      </c>
      <c r="L158" t="s">
        <v>25</v>
      </c>
    </row>
    <row r="159" spans="1:12">
      <c r="A159">
        <v>157</v>
      </c>
      <c r="B159">
        <v>2021</v>
      </c>
      <c r="C159" t="s">
        <v>11</v>
      </c>
      <c r="D159" t="s">
        <v>12</v>
      </c>
      <c r="E159" t="s">
        <v>100</v>
      </c>
      <c r="F159">
        <v>423000</v>
      </c>
      <c r="G159" t="s">
        <v>19</v>
      </c>
      <c r="H159">
        <v>423000</v>
      </c>
      <c r="I159" t="s">
        <v>29</v>
      </c>
      <c r="J159">
        <v>50</v>
      </c>
      <c r="K159" t="s">
        <v>29</v>
      </c>
      <c r="L159" t="s">
        <v>16</v>
      </c>
    </row>
    <row r="160" spans="1:12">
      <c r="A160">
        <v>158</v>
      </c>
      <c r="B160">
        <v>2021</v>
      </c>
      <c r="C160" t="s">
        <v>17</v>
      </c>
      <c r="D160" t="s">
        <v>12</v>
      </c>
      <c r="E160" t="s">
        <v>105</v>
      </c>
      <c r="F160">
        <v>120000</v>
      </c>
      <c r="G160" t="s">
        <v>19</v>
      </c>
      <c r="H160">
        <v>120000</v>
      </c>
      <c r="I160" t="s">
        <v>29</v>
      </c>
      <c r="J160">
        <v>100</v>
      </c>
      <c r="K160" t="s">
        <v>29</v>
      </c>
      <c r="L160" t="s">
        <v>25</v>
      </c>
    </row>
    <row r="161" spans="1:12">
      <c r="A161">
        <v>159</v>
      </c>
      <c r="B161">
        <v>2021</v>
      </c>
      <c r="C161" t="s">
        <v>30</v>
      </c>
      <c r="D161" t="s">
        <v>12</v>
      </c>
      <c r="E161" t="s">
        <v>28</v>
      </c>
      <c r="F161">
        <v>125000</v>
      </c>
      <c r="G161" t="s">
        <v>19</v>
      </c>
      <c r="H161">
        <v>125000</v>
      </c>
      <c r="I161" t="s">
        <v>29</v>
      </c>
      <c r="J161">
        <v>100</v>
      </c>
      <c r="K161" t="s">
        <v>29</v>
      </c>
      <c r="L161" t="s">
        <v>21</v>
      </c>
    </row>
    <row r="162" spans="1:12">
      <c r="A162">
        <v>160</v>
      </c>
      <c r="B162">
        <v>2021</v>
      </c>
      <c r="C162" t="s">
        <v>53</v>
      </c>
      <c r="D162" t="s">
        <v>12</v>
      </c>
      <c r="E162" t="s">
        <v>81</v>
      </c>
      <c r="F162">
        <v>230000</v>
      </c>
      <c r="G162" t="s">
        <v>19</v>
      </c>
      <c r="H162">
        <v>230000</v>
      </c>
      <c r="I162" t="s">
        <v>75</v>
      </c>
      <c r="J162">
        <v>50</v>
      </c>
      <c r="K162" t="s">
        <v>75</v>
      </c>
      <c r="L162" t="s">
        <v>16</v>
      </c>
    </row>
    <row r="163" spans="1:12">
      <c r="A163">
        <v>161</v>
      </c>
      <c r="B163">
        <v>2021</v>
      </c>
      <c r="C163" t="s">
        <v>53</v>
      </c>
      <c r="D163" t="s">
        <v>12</v>
      </c>
      <c r="E163" t="s">
        <v>106</v>
      </c>
      <c r="F163">
        <v>85000</v>
      </c>
      <c r="G163" t="s">
        <v>19</v>
      </c>
      <c r="H163">
        <v>85000</v>
      </c>
      <c r="I163" t="s">
        <v>75</v>
      </c>
      <c r="J163">
        <v>0</v>
      </c>
      <c r="K163" t="s">
        <v>75</v>
      </c>
      <c r="L163" t="s">
        <v>25</v>
      </c>
    </row>
    <row r="164" spans="1:12">
      <c r="A164">
        <v>162</v>
      </c>
      <c r="B164">
        <v>2021</v>
      </c>
      <c r="C164" t="s">
        <v>11</v>
      </c>
      <c r="D164" t="s">
        <v>12</v>
      </c>
      <c r="E164" t="s">
        <v>43</v>
      </c>
      <c r="F164">
        <v>24000</v>
      </c>
      <c r="G164" t="s">
        <v>14</v>
      </c>
      <c r="H164">
        <v>28369</v>
      </c>
      <c r="I164" t="s">
        <v>107</v>
      </c>
      <c r="J164">
        <v>50</v>
      </c>
      <c r="K164" t="s">
        <v>107</v>
      </c>
      <c r="L164" t="s">
        <v>16</v>
      </c>
    </row>
    <row r="165" spans="1:12">
      <c r="A165">
        <v>163</v>
      </c>
      <c r="B165">
        <v>2021</v>
      </c>
      <c r="C165" t="s">
        <v>30</v>
      </c>
      <c r="D165" t="s">
        <v>12</v>
      </c>
      <c r="E165" t="s">
        <v>46</v>
      </c>
      <c r="F165">
        <v>54000</v>
      </c>
      <c r="G165" t="s">
        <v>14</v>
      </c>
      <c r="H165">
        <v>63831</v>
      </c>
      <c r="I165" t="s">
        <v>15</v>
      </c>
      <c r="J165">
        <v>50</v>
      </c>
      <c r="K165" t="s">
        <v>15</v>
      </c>
      <c r="L165" t="s">
        <v>16</v>
      </c>
    </row>
    <row r="166" spans="1:12">
      <c r="A166">
        <v>164</v>
      </c>
      <c r="B166">
        <v>2021</v>
      </c>
      <c r="C166" t="s">
        <v>53</v>
      </c>
      <c r="D166" t="s">
        <v>12</v>
      </c>
      <c r="E166" t="s">
        <v>54</v>
      </c>
      <c r="F166">
        <v>110000</v>
      </c>
      <c r="G166" t="s">
        <v>14</v>
      </c>
      <c r="H166">
        <v>130026</v>
      </c>
      <c r="I166" t="s">
        <v>15</v>
      </c>
      <c r="J166">
        <v>50</v>
      </c>
      <c r="K166" t="s">
        <v>15</v>
      </c>
      <c r="L166" t="s">
        <v>25</v>
      </c>
    </row>
    <row r="167" spans="1:12">
      <c r="A167">
        <v>165</v>
      </c>
      <c r="B167">
        <v>2021</v>
      </c>
      <c r="C167" t="s">
        <v>17</v>
      </c>
      <c r="D167" t="s">
        <v>12</v>
      </c>
      <c r="E167" t="s">
        <v>108</v>
      </c>
      <c r="F167">
        <v>165000</v>
      </c>
      <c r="G167" t="s">
        <v>19</v>
      </c>
      <c r="H167">
        <v>165000</v>
      </c>
      <c r="I167" t="s">
        <v>29</v>
      </c>
      <c r="J167">
        <v>100</v>
      </c>
      <c r="K167" t="s">
        <v>29</v>
      </c>
      <c r="L167" t="s">
        <v>16</v>
      </c>
    </row>
    <row r="168" spans="1:12">
      <c r="A168">
        <v>166</v>
      </c>
      <c r="B168">
        <v>2021</v>
      </c>
      <c r="C168" t="s">
        <v>30</v>
      </c>
      <c r="D168" t="s">
        <v>12</v>
      </c>
      <c r="E168" t="s">
        <v>43</v>
      </c>
      <c r="F168">
        <v>80000</v>
      </c>
      <c r="G168" t="s">
        <v>19</v>
      </c>
      <c r="H168">
        <v>80000</v>
      </c>
      <c r="I168" t="s">
        <v>29</v>
      </c>
      <c r="J168">
        <v>100</v>
      </c>
      <c r="K168" t="s">
        <v>29</v>
      </c>
      <c r="L168" t="s">
        <v>16</v>
      </c>
    </row>
    <row r="169" spans="1:12">
      <c r="A169">
        <v>167</v>
      </c>
      <c r="B169">
        <v>2021</v>
      </c>
      <c r="C169" t="s">
        <v>53</v>
      </c>
      <c r="D169" t="s">
        <v>12</v>
      </c>
      <c r="E169" t="s">
        <v>54</v>
      </c>
      <c r="F169">
        <v>250000</v>
      </c>
      <c r="G169" t="s">
        <v>19</v>
      </c>
      <c r="H169">
        <v>250000</v>
      </c>
      <c r="I169" t="s">
        <v>29</v>
      </c>
      <c r="J169">
        <v>0</v>
      </c>
      <c r="K169" t="s">
        <v>29</v>
      </c>
      <c r="L169" t="s">
        <v>16</v>
      </c>
    </row>
    <row r="170" spans="1:12">
      <c r="A170">
        <v>168</v>
      </c>
      <c r="B170">
        <v>2021</v>
      </c>
      <c r="C170" t="s">
        <v>30</v>
      </c>
      <c r="D170" t="s">
        <v>12</v>
      </c>
      <c r="E170" t="s">
        <v>51</v>
      </c>
      <c r="F170">
        <v>55000</v>
      </c>
      <c r="G170" t="s">
        <v>19</v>
      </c>
      <c r="H170">
        <v>55000</v>
      </c>
      <c r="I170" t="s">
        <v>29</v>
      </c>
      <c r="J170">
        <v>50</v>
      </c>
      <c r="K170" t="s">
        <v>29</v>
      </c>
      <c r="L170" t="s">
        <v>21</v>
      </c>
    </row>
    <row r="171" spans="1:12">
      <c r="A171">
        <v>169</v>
      </c>
      <c r="B171">
        <v>2021</v>
      </c>
      <c r="C171" t="s">
        <v>11</v>
      </c>
      <c r="D171" t="s">
        <v>12</v>
      </c>
      <c r="E171" t="s">
        <v>109</v>
      </c>
      <c r="F171">
        <v>150000</v>
      </c>
      <c r="G171" t="s">
        <v>19</v>
      </c>
      <c r="H171">
        <v>150000</v>
      </c>
      <c r="I171" t="s">
        <v>29</v>
      </c>
      <c r="J171">
        <v>100</v>
      </c>
      <c r="K171" t="s">
        <v>29</v>
      </c>
      <c r="L171" t="s">
        <v>16</v>
      </c>
    </row>
    <row r="172" spans="1:12">
      <c r="A172">
        <v>170</v>
      </c>
      <c r="B172">
        <v>2021</v>
      </c>
      <c r="C172" t="s">
        <v>11</v>
      </c>
      <c r="D172" t="s">
        <v>12</v>
      </c>
      <c r="E172" t="s">
        <v>109</v>
      </c>
      <c r="F172">
        <v>170000</v>
      </c>
      <c r="G172" t="s">
        <v>19</v>
      </c>
      <c r="H172">
        <v>170000</v>
      </c>
      <c r="I172" t="s">
        <v>29</v>
      </c>
      <c r="J172">
        <v>100</v>
      </c>
      <c r="K172" t="s">
        <v>29</v>
      </c>
      <c r="L172" t="s">
        <v>16</v>
      </c>
    </row>
    <row r="173" spans="1:12">
      <c r="A173">
        <v>171</v>
      </c>
      <c r="B173">
        <v>2021</v>
      </c>
      <c r="C173" t="s">
        <v>11</v>
      </c>
      <c r="D173" t="s">
        <v>12</v>
      </c>
      <c r="E173" t="s">
        <v>43</v>
      </c>
      <c r="F173">
        <v>60000</v>
      </c>
      <c r="G173" t="s">
        <v>23</v>
      </c>
      <c r="H173">
        <v>82528</v>
      </c>
      <c r="I173" t="s">
        <v>24</v>
      </c>
      <c r="J173">
        <v>100</v>
      </c>
      <c r="K173" t="s">
        <v>24</v>
      </c>
      <c r="L173" t="s">
        <v>16</v>
      </c>
    </row>
    <row r="174" spans="1:12">
      <c r="A174">
        <v>172</v>
      </c>
      <c r="B174">
        <v>2021</v>
      </c>
      <c r="C174" t="s">
        <v>30</v>
      </c>
      <c r="D174" t="s">
        <v>12</v>
      </c>
      <c r="E174" t="s">
        <v>31</v>
      </c>
      <c r="F174">
        <v>60000</v>
      </c>
      <c r="G174" t="s">
        <v>19</v>
      </c>
      <c r="H174">
        <v>60000</v>
      </c>
      <c r="I174" t="s">
        <v>29</v>
      </c>
      <c r="J174">
        <v>100</v>
      </c>
      <c r="K174" t="s">
        <v>29</v>
      </c>
      <c r="L174" t="s">
        <v>21</v>
      </c>
    </row>
    <row r="175" spans="1:12">
      <c r="A175">
        <v>173</v>
      </c>
      <c r="B175">
        <v>2021</v>
      </c>
      <c r="C175" t="s">
        <v>17</v>
      </c>
      <c r="D175" t="s">
        <v>12</v>
      </c>
      <c r="E175" t="s">
        <v>76</v>
      </c>
      <c r="F175">
        <v>235000</v>
      </c>
      <c r="G175" t="s">
        <v>19</v>
      </c>
      <c r="H175">
        <v>235000</v>
      </c>
      <c r="I175" t="s">
        <v>29</v>
      </c>
      <c r="J175">
        <v>100</v>
      </c>
      <c r="K175" t="s">
        <v>29</v>
      </c>
      <c r="L175" t="s">
        <v>16</v>
      </c>
    </row>
    <row r="176" spans="1:12">
      <c r="A176">
        <v>174</v>
      </c>
      <c r="B176">
        <v>2021</v>
      </c>
      <c r="C176" t="s">
        <v>17</v>
      </c>
      <c r="D176" t="s">
        <v>12</v>
      </c>
      <c r="E176" t="s">
        <v>55</v>
      </c>
      <c r="F176">
        <v>51400</v>
      </c>
      <c r="G176" t="s">
        <v>14</v>
      </c>
      <c r="H176">
        <v>60757</v>
      </c>
      <c r="I176" t="s">
        <v>47</v>
      </c>
      <c r="J176">
        <v>50</v>
      </c>
      <c r="K176" t="s">
        <v>47</v>
      </c>
      <c r="L176" t="s">
        <v>16</v>
      </c>
    </row>
    <row r="177" spans="1:12">
      <c r="A177">
        <v>175</v>
      </c>
      <c r="B177">
        <v>2021</v>
      </c>
      <c r="C177" t="s">
        <v>17</v>
      </c>
      <c r="D177" t="s">
        <v>12</v>
      </c>
      <c r="E177" t="s">
        <v>63</v>
      </c>
      <c r="F177">
        <v>174000</v>
      </c>
      <c r="G177" t="s">
        <v>19</v>
      </c>
      <c r="H177">
        <v>174000</v>
      </c>
      <c r="I177" t="s">
        <v>29</v>
      </c>
      <c r="J177">
        <v>100</v>
      </c>
      <c r="K177" t="s">
        <v>29</v>
      </c>
      <c r="L177" t="s">
        <v>16</v>
      </c>
    </row>
    <row r="178" spans="1:12">
      <c r="A178">
        <v>176</v>
      </c>
      <c r="B178">
        <v>2021</v>
      </c>
      <c r="C178" t="s">
        <v>11</v>
      </c>
      <c r="D178" t="s">
        <v>12</v>
      </c>
      <c r="E178" t="s">
        <v>13</v>
      </c>
      <c r="F178">
        <v>58000</v>
      </c>
      <c r="G178" t="s">
        <v>57</v>
      </c>
      <c r="H178">
        <v>2859</v>
      </c>
      <c r="I178" t="s">
        <v>58</v>
      </c>
      <c r="J178">
        <v>0</v>
      </c>
      <c r="K178" t="s">
        <v>58</v>
      </c>
      <c r="L178" t="s">
        <v>21</v>
      </c>
    </row>
    <row r="179" spans="1:12">
      <c r="A179">
        <v>177</v>
      </c>
      <c r="B179">
        <v>2021</v>
      </c>
      <c r="C179" t="s">
        <v>11</v>
      </c>
      <c r="D179" t="s">
        <v>12</v>
      </c>
      <c r="E179" t="s">
        <v>13</v>
      </c>
      <c r="F179">
        <v>30400000</v>
      </c>
      <c r="G179" t="s">
        <v>110</v>
      </c>
      <c r="H179">
        <v>40038</v>
      </c>
      <c r="I179" t="s">
        <v>111</v>
      </c>
      <c r="J179">
        <v>100</v>
      </c>
      <c r="K179" t="s">
        <v>111</v>
      </c>
      <c r="L179" t="s">
        <v>16</v>
      </c>
    </row>
    <row r="180" spans="1:12">
      <c r="A180">
        <v>178</v>
      </c>
      <c r="B180">
        <v>2021</v>
      </c>
      <c r="C180" t="s">
        <v>30</v>
      </c>
      <c r="D180" t="s">
        <v>12</v>
      </c>
      <c r="E180" t="s">
        <v>28</v>
      </c>
      <c r="F180">
        <v>81000</v>
      </c>
      <c r="G180" t="s">
        <v>19</v>
      </c>
      <c r="H180">
        <v>81000</v>
      </c>
      <c r="I180" t="s">
        <v>29</v>
      </c>
      <c r="J180">
        <v>50</v>
      </c>
      <c r="K180" t="s">
        <v>29</v>
      </c>
      <c r="L180" t="s">
        <v>21</v>
      </c>
    </row>
    <row r="181" spans="1:12">
      <c r="A181">
        <v>179</v>
      </c>
      <c r="B181">
        <v>2021</v>
      </c>
      <c r="C181" t="s">
        <v>11</v>
      </c>
      <c r="D181" t="s">
        <v>12</v>
      </c>
      <c r="E181" t="s">
        <v>13</v>
      </c>
      <c r="F181">
        <v>420000</v>
      </c>
      <c r="G181" t="s">
        <v>39</v>
      </c>
      <c r="H181">
        <v>5679</v>
      </c>
      <c r="I181" t="s">
        <v>40</v>
      </c>
      <c r="J181">
        <v>100</v>
      </c>
      <c r="K181" t="s">
        <v>29</v>
      </c>
      <c r="L181" t="s">
        <v>21</v>
      </c>
    </row>
    <row r="182" spans="1:12">
      <c r="A182">
        <v>180</v>
      </c>
      <c r="B182">
        <v>2021</v>
      </c>
      <c r="C182" t="s">
        <v>11</v>
      </c>
      <c r="D182" t="s">
        <v>12</v>
      </c>
      <c r="E182" t="s">
        <v>22</v>
      </c>
      <c r="F182">
        <v>1672000</v>
      </c>
      <c r="G182" t="s">
        <v>39</v>
      </c>
      <c r="H182">
        <v>22611</v>
      </c>
      <c r="I182" t="s">
        <v>40</v>
      </c>
      <c r="J182">
        <v>0</v>
      </c>
      <c r="K182" t="s">
        <v>40</v>
      </c>
      <c r="L182" t="s">
        <v>16</v>
      </c>
    </row>
    <row r="183" spans="1:12">
      <c r="A183">
        <v>181</v>
      </c>
      <c r="B183">
        <v>2021</v>
      </c>
      <c r="C183" t="s">
        <v>11</v>
      </c>
      <c r="D183" t="s">
        <v>12</v>
      </c>
      <c r="E183" t="s">
        <v>13</v>
      </c>
      <c r="F183">
        <v>76760</v>
      </c>
      <c r="G183" t="s">
        <v>14</v>
      </c>
      <c r="H183">
        <v>90734</v>
      </c>
      <c r="I183" t="s">
        <v>15</v>
      </c>
      <c r="J183">
        <v>50</v>
      </c>
      <c r="K183" t="s">
        <v>15</v>
      </c>
      <c r="L183" t="s">
        <v>16</v>
      </c>
    </row>
    <row r="184" spans="1:12">
      <c r="A184">
        <v>182</v>
      </c>
      <c r="B184">
        <v>2021</v>
      </c>
      <c r="C184" t="s">
        <v>11</v>
      </c>
      <c r="D184" t="s">
        <v>12</v>
      </c>
      <c r="E184" t="s">
        <v>43</v>
      </c>
      <c r="F184">
        <v>22000</v>
      </c>
      <c r="G184" t="s">
        <v>14</v>
      </c>
      <c r="H184">
        <v>26005</v>
      </c>
      <c r="I184" t="s">
        <v>96</v>
      </c>
      <c r="J184">
        <v>0</v>
      </c>
      <c r="K184" t="s">
        <v>29</v>
      </c>
      <c r="L184" t="s">
        <v>16</v>
      </c>
    </row>
    <row r="185" spans="1:12">
      <c r="A185">
        <v>183</v>
      </c>
      <c r="B185">
        <v>2021</v>
      </c>
      <c r="C185" t="s">
        <v>17</v>
      </c>
      <c r="D185" t="s">
        <v>12</v>
      </c>
      <c r="E185" t="s">
        <v>112</v>
      </c>
      <c r="F185">
        <v>45000</v>
      </c>
      <c r="G185" t="s">
        <v>23</v>
      </c>
      <c r="H185">
        <v>61896</v>
      </c>
      <c r="I185" t="s">
        <v>24</v>
      </c>
      <c r="J185">
        <v>50</v>
      </c>
      <c r="K185" t="s">
        <v>24</v>
      </c>
      <c r="L185" t="s">
        <v>16</v>
      </c>
    </row>
    <row r="186" spans="1:12">
      <c r="A186">
        <v>184</v>
      </c>
      <c r="B186">
        <v>2021</v>
      </c>
      <c r="C186" t="s">
        <v>11</v>
      </c>
      <c r="D186" t="s">
        <v>73</v>
      </c>
      <c r="E186" t="s">
        <v>18</v>
      </c>
      <c r="F186">
        <v>12000</v>
      </c>
      <c r="G186" t="s">
        <v>19</v>
      </c>
      <c r="H186">
        <v>12000</v>
      </c>
      <c r="I186" t="s">
        <v>42</v>
      </c>
      <c r="J186">
        <v>50</v>
      </c>
      <c r="K186" t="s">
        <v>42</v>
      </c>
      <c r="L186" t="s">
        <v>25</v>
      </c>
    </row>
    <row r="187" spans="1:12">
      <c r="A187">
        <v>185</v>
      </c>
      <c r="B187">
        <v>2021</v>
      </c>
      <c r="C187" t="s">
        <v>11</v>
      </c>
      <c r="D187" t="s">
        <v>12</v>
      </c>
      <c r="E187" t="s">
        <v>43</v>
      </c>
      <c r="F187">
        <v>4000</v>
      </c>
      <c r="G187" t="s">
        <v>19</v>
      </c>
      <c r="H187">
        <v>4000</v>
      </c>
      <c r="I187" t="s">
        <v>113</v>
      </c>
      <c r="J187">
        <v>100</v>
      </c>
      <c r="K187" t="s">
        <v>113</v>
      </c>
      <c r="L187" t="s">
        <v>25</v>
      </c>
    </row>
    <row r="188" spans="1:12">
      <c r="A188">
        <v>186</v>
      </c>
      <c r="B188">
        <v>2021</v>
      </c>
      <c r="C188" t="s">
        <v>17</v>
      </c>
      <c r="D188" t="s">
        <v>12</v>
      </c>
      <c r="E188" t="s">
        <v>83</v>
      </c>
      <c r="F188">
        <v>50000</v>
      </c>
      <c r="G188" t="s">
        <v>19</v>
      </c>
      <c r="H188">
        <v>50000</v>
      </c>
      <c r="I188" t="s">
        <v>101</v>
      </c>
      <c r="J188">
        <v>100</v>
      </c>
      <c r="K188" t="s">
        <v>24</v>
      </c>
      <c r="L188" t="s">
        <v>25</v>
      </c>
    </row>
    <row r="189" spans="1:12">
      <c r="A189">
        <v>187</v>
      </c>
      <c r="B189">
        <v>2021</v>
      </c>
      <c r="C189" t="s">
        <v>53</v>
      </c>
      <c r="D189" t="s">
        <v>12</v>
      </c>
      <c r="E189" t="s">
        <v>46</v>
      </c>
      <c r="F189">
        <v>59000</v>
      </c>
      <c r="G189" t="s">
        <v>14</v>
      </c>
      <c r="H189">
        <v>69741</v>
      </c>
      <c r="I189" t="s">
        <v>38</v>
      </c>
      <c r="J189">
        <v>100</v>
      </c>
      <c r="K189" t="s">
        <v>67</v>
      </c>
      <c r="L189" t="s">
        <v>21</v>
      </c>
    </row>
    <row r="190" spans="1:12">
      <c r="A190">
        <v>188</v>
      </c>
      <c r="B190">
        <v>2021</v>
      </c>
      <c r="C190" t="s">
        <v>17</v>
      </c>
      <c r="D190" t="s">
        <v>12</v>
      </c>
      <c r="E190" t="s">
        <v>43</v>
      </c>
      <c r="F190">
        <v>65000</v>
      </c>
      <c r="G190" t="s">
        <v>14</v>
      </c>
      <c r="H190">
        <v>76833</v>
      </c>
      <c r="I190" t="s">
        <v>96</v>
      </c>
      <c r="J190">
        <v>50</v>
      </c>
      <c r="K190" t="s">
        <v>24</v>
      </c>
      <c r="L190" t="s">
        <v>21</v>
      </c>
    </row>
    <row r="191" spans="1:12">
      <c r="A191">
        <v>189</v>
      </c>
      <c r="B191">
        <v>2021</v>
      </c>
      <c r="C191" t="s">
        <v>11</v>
      </c>
      <c r="D191" t="s">
        <v>12</v>
      </c>
      <c r="E191" t="s">
        <v>28</v>
      </c>
      <c r="F191">
        <v>74000</v>
      </c>
      <c r="G191" t="s">
        <v>19</v>
      </c>
      <c r="H191">
        <v>74000</v>
      </c>
      <c r="I191" t="s">
        <v>20</v>
      </c>
      <c r="J191">
        <v>50</v>
      </c>
      <c r="K191" t="s">
        <v>20</v>
      </c>
      <c r="L191" t="s">
        <v>21</v>
      </c>
    </row>
    <row r="192" spans="1:12">
      <c r="A192">
        <v>190</v>
      </c>
      <c r="B192">
        <v>2021</v>
      </c>
      <c r="C192" t="s">
        <v>17</v>
      </c>
      <c r="D192" t="s">
        <v>12</v>
      </c>
      <c r="E192" t="s">
        <v>79</v>
      </c>
      <c r="F192">
        <v>152000</v>
      </c>
      <c r="G192" t="s">
        <v>19</v>
      </c>
      <c r="H192">
        <v>152000</v>
      </c>
      <c r="I192" t="s">
        <v>29</v>
      </c>
      <c r="J192">
        <v>100</v>
      </c>
      <c r="K192" t="s">
        <v>38</v>
      </c>
      <c r="L192" t="s">
        <v>16</v>
      </c>
    </row>
    <row r="193" spans="1:12">
      <c r="A193">
        <v>191</v>
      </c>
      <c r="B193">
        <v>2021</v>
      </c>
      <c r="C193" t="s">
        <v>30</v>
      </c>
      <c r="D193" t="s">
        <v>12</v>
      </c>
      <c r="E193" t="s">
        <v>28</v>
      </c>
      <c r="F193">
        <v>21844</v>
      </c>
      <c r="G193" t="s">
        <v>19</v>
      </c>
      <c r="H193">
        <v>21844</v>
      </c>
      <c r="I193" t="s">
        <v>114</v>
      </c>
      <c r="J193">
        <v>50</v>
      </c>
      <c r="K193" t="s">
        <v>114</v>
      </c>
      <c r="L193" t="s">
        <v>25</v>
      </c>
    </row>
    <row r="194" spans="1:12">
      <c r="A194">
        <v>192</v>
      </c>
      <c r="B194">
        <v>2021</v>
      </c>
      <c r="C194" t="s">
        <v>11</v>
      </c>
      <c r="D194" t="s">
        <v>12</v>
      </c>
      <c r="E194" t="s">
        <v>22</v>
      </c>
      <c r="F194">
        <v>18000</v>
      </c>
      <c r="G194" t="s">
        <v>19</v>
      </c>
      <c r="H194">
        <v>18000</v>
      </c>
      <c r="I194" t="s">
        <v>115</v>
      </c>
      <c r="J194">
        <v>0</v>
      </c>
      <c r="K194" t="s">
        <v>115</v>
      </c>
      <c r="L194" t="s">
        <v>21</v>
      </c>
    </row>
    <row r="195" spans="1:12">
      <c r="A195">
        <v>193</v>
      </c>
      <c r="B195">
        <v>2021</v>
      </c>
      <c r="C195" t="s">
        <v>17</v>
      </c>
      <c r="D195" t="s">
        <v>12</v>
      </c>
      <c r="E195" t="s">
        <v>79</v>
      </c>
      <c r="F195">
        <v>174000</v>
      </c>
      <c r="G195" t="s">
        <v>19</v>
      </c>
      <c r="H195">
        <v>174000</v>
      </c>
      <c r="I195" t="s">
        <v>29</v>
      </c>
      <c r="J195">
        <v>100</v>
      </c>
      <c r="K195" t="s">
        <v>29</v>
      </c>
      <c r="L195" t="s">
        <v>16</v>
      </c>
    </row>
    <row r="196" spans="1:12">
      <c r="A196">
        <v>194</v>
      </c>
      <c r="B196">
        <v>2021</v>
      </c>
      <c r="C196" t="s">
        <v>17</v>
      </c>
      <c r="D196" t="s">
        <v>12</v>
      </c>
      <c r="E196" t="s">
        <v>55</v>
      </c>
      <c r="F196">
        <v>120500</v>
      </c>
      <c r="G196" t="s">
        <v>61</v>
      </c>
      <c r="H196">
        <v>96113</v>
      </c>
      <c r="I196" t="s">
        <v>62</v>
      </c>
      <c r="J196">
        <v>50</v>
      </c>
      <c r="K196" t="s">
        <v>62</v>
      </c>
      <c r="L196" t="s">
        <v>16</v>
      </c>
    </row>
    <row r="197" spans="1:12">
      <c r="A197">
        <v>195</v>
      </c>
      <c r="B197">
        <v>2021</v>
      </c>
      <c r="C197" t="s">
        <v>11</v>
      </c>
      <c r="D197" t="s">
        <v>12</v>
      </c>
      <c r="E197" t="s">
        <v>13</v>
      </c>
      <c r="F197">
        <v>147000</v>
      </c>
      <c r="G197" t="s">
        <v>19</v>
      </c>
      <c r="H197">
        <v>147000</v>
      </c>
      <c r="I197" t="s">
        <v>29</v>
      </c>
      <c r="J197">
        <v>50</v>
      </c>
      <c r="K197" t="s">
        <v>29</v>
      </c>
      <c r="L197" t="s">
        <v>16</v>
      </c>
    </row>
    <row r="198" spans="1:12">
      <c r="A198">
        <v>196</v>
      </c>
      <c r="B198">
        <v>2021</v>
      </c>
      <c r="C198" t="s">
        <v>30</v>
      </c>
      <c r="D198" t="s">
        <v>12</v>
      </c>
      <c r="E198" t="s">
        <v>51</v>
      </c>
      <c r="F198">
        <v>9272</v>
      </c>
      <c r="G198" t="s">
        <v>19</v>
      </c>
      <c r="H198">
        <v>9272</v>
      </c>
      <c r="I198" t="s">
        <v>116</v>
      </c>
      <c r="J198">
        <v>100</v>
      </c>
      <c r="K198" t="s">
        <v>116</v>
      </c>
      <c r="L198" t="s">
        <v>21</v>
      </c>
    </row>
    <row r="199" spans="1:12">
      <c r="A199">
        <v>197</v>
      </c>
      <c r="B199">
        <v>2021</v>
      </c>
      <c r="C199" t="s">
        <v>17</v>
      </c>
      <c r="D199" t="s">
        <v>12</v>
      </c>
      <c r="E199" t="s">
        <v>28</v>
      </c>
      <c r="F199">
        <v>1799997</v>
      </c>
      <c r="G199" t="s">
        <v>39</v>
      </c>
      <c r="H199">
        <v>24342</v>
      </c>
      <c r="I199" t="s">
        <v>40</v>
      </c>
      <c r="J199">
        <v>100</v>
      </c>
      <c r="K199" t="s">
        <v>40</v>
      </c>
      <c r="L199" t="s">
        <v>16</v>
      </c>
    </row>
    <row r="200" spans="1:12">
      <c r="A200">
        <v>198</v>
      </c>
      <c r="B200">
        <v>2021</v>
      </c>
      <c r="C200" t="s">
        <v>17</v>
      </c>
      <c r="D200" t="s">
        <v>12</v>
      </c>
      <c r="E200" t="s">
        <v>79</v>
      </c>
      <c r="F200">
        <v>4000000</v>
      </c>
      <c r="G200" t="s">
        <v>39</v>
      </c>
      <c r="H200">
        <v>54094</v>
      </c>
      <c r="I200" t="s">
        <v>40</v>
      </c>
      <c r="J200">
        <v>50</v>
      </c>
      <c r="K200" t="s">
        <v>29</v>
      </c>
      <c r="L200" t="s">
        <v>16</v>
      </c>
    </row>
    <row r="201" spans="1:12">
      <c r="A201">
        <v>199</v>
      </c>
      <c r="B201">
        <v>2021</v>
      </c>
      <c r="C201" t="s">
        <v>30</v>
      </c>
      <c r="D201" t="s">
        <v>12</v>
      </c>
      <c r="E201" t="s">
        <v>46</v>
      </c>
      <c r="F201">
        <v>90000</v>
      </c>
      <c r="G201" t="s">
        <v>19</v>
      </c>
      <c r="H201">
        <v>90000</v>
      </c>
      <c r="I201" t="s">
        <v>29</v>
      </c>
      <c r="J201">
        <v>100</v>
      </c>
      <c r="K201" t="s">
        <v>29</v>
      </c>
      <c r="L201" t="s">
        <v>21</v>
      </c>
    </row>
    <row r="202" spans="1:12">
      <c r="A202">
        <v>200</v>
      </c>
      <c r="B202">
        <v>2021</v>
      </c>
      <c r="C202" t="s">
        <v>11</v>
      </c>
      <c r="D202" t="s">
        <v>12</v>
      </c>
      <c r="E202" t="s">
        <v>13</v>
      </c>
      <c r="F202">
        <v>52000</v>
      </c>
      <c r="G202" t="s">
        <v>14</v>
      </c>
      <c r="H202">
        <v>61467</v>
      </c>
      <c r="I202" t="s">
        <v>15</v>
      </c>
      <c r="J202">
        <v>50</v>
      </c>
      <c r="K202" t="s">
        <v>64</v>
      </c>
      <c r="L202" t="s">
        <v>25</v>
      </c>
    </row>
    <row r="203" spans="1:12">
      <c r="A203">
        <v>201</v>
      </c>
      <c r="B203">
        <v>2021</v>
      </c>
      <c r="C203" t="s">
        <v>17</v>
      </c>
      <c r="D203" t="s">
        <v>12</v>
      </c>
      <c r="E203" t="s">
        <v>68</v>
      </c>
      <c r="F203">
        <v>195000</v>
      </c>
      <c r="G203" t="s">
        <v>19</v>
      </c>
      <c r="H203">
        <v>195000</v>
      </c>
      <c r="I203" t="s">
        <v>29</v>
      </c>
      <c r="J203">
        <v>100</v>
      </c>
      <c r="K203" t="s">
        <v>29</v>
      </c>
      <c r="L203" t="s">
        <v>25</v>
      </c>
    </row>
    <row r="204" spans="1:12">
      <c r="A204">
        <v>202</v>
      </c>
      <c r="B204">
        <v>2021</v>
      </c>
      <c r="C204" t="s">
        <v>11</v>
      </c>
      <c r="D204" t="s">
        <v>12</v>
      </c>
      <c r="E204" t="s">
        <v>13</v>
      </c>
      <c r="F204">
        <v>32000</v>
      </c>
      <c r="G204" t="s">
        <v>14</v>
      </c>
      <c r="H204">
        <v>37825</v>
      </c>
      <c r="I204" t="s">
        <v>67</v>
      </c>
      <c r="J204">
        <v>100</v>
      </c>
      <c r="K204" t="s">
        <v>67</v>
      </c>
      <c r="L204" t="s">
        <v>16</v>
      </c>
    </row>
    <row r="205" spans="1:12">
      <c r="A205">
        <v>203</v>
      </c>
      <c r="B205">
        <v>2021</v>
      </c>
      <c r="C205" t="s">
        <v>17</v>
      </c>
      <c r="D205" t="s">
        <v>12</v>
      </c>
      <c r="E205" t="s">
        <v>55</v>
      </c>
      <c r="F205">
        <v>50000</v>
      </c>
      <c r="G205" t="s">
        <v>19</v>
      </c>
      <c r="H205">
        <v>50000</v>
      </c>
      <c r="I205" t="s">
        <v>38</v>
      </c>
      <c r="J205">
        <v>100</v>
      </c>
      <c r="K205" t="s">
        <v>29</v>
      </c>
      <c r="L205" t="s">
        <v>21</v>
      </c>
    </row>
    <row r="206" spans="1:12">
      <c r="A206">
        <v>204</v>
      </c>
      <c r="B206">
        <v>2021</v>
      </c>
      <c r="C206" t="s">
        <v>11</v>
      </c>
      <c r="D206" t="s">
        <v>12</v>
      </c>
      <c r="E206" t="s">
        <v>13</v>
      </c>
      <c r="F206">
        <v>160000</v>
      </c>
      <c r="G206" t="s">
        <v>19</v>
      </c>
      <c r="H206">
        <v>160000</v>
      </c>
      <c r="I206" t="s">
        <v>29</v>
      </c>
      <c r="J206">
        <v>100</v>
      </c>
      <c r="K206" t="s">
        <v>29</v>
      </c>
      <c r="L206" t="s">
        <v>16</v>
      </c>
    </row>
    <row r="207" spans="1:12">
      <c r="A207">
        <v>205</v>
      </c>
      <c r="B207">
        <v>2021</v>
      </c>
      <c r="C207" t="s">
        <v>11</v>
      </c>
      <c r="D207" t="s">
        <v>12</v>
      </c>
      <c r="E207" t="s">
        <v>13</v>
      </c>
      <c r="F207">
        <v>69600</v>
      </c>
      <c r="G207" t="s">
        <v>117</v>
      </c>
      <c r="H207">
        <v>12901</v>
      </c>
      <c r="I207" t="s">
        <v>91</v>
      </c>
      <c r="J207">
        <v>0</v>
      </c>
      <c r="K207" t="s">
        <v>91</v>
      </c>
      <c r="L207" t="s">
        <v>21</v>
      </c>
    </row>
    <row r="208" spans="1:12">
      <c r="A208">
        <v>206</v>
      </c>
      <c r="B208">
        <v>2021</v>
      </c>
      <c r="C208" t="s">
        <v>17</v>
      </c>
      <c r="D208" t="s">
        <v>12</v>
      </c>
      <c r="E208" t="s">
        <v>28</v>
      </c>
      <c r="F208">
        <v>200000</v>
      </c>
      <c r="G208" t="s">
        <v>19</v>
      </c>
      <c r="H208">
        <v>200000</v>
      </c>
      <c r="I208" t="s">
        <v>29</v>
      </c>
      <c r="J208">
        <v>100</v>
      </c>
      <c r="K208" t="s">
        <v>29</v>
      </c>
      <c r="L208" t="s">
        <v>16</v>
      </c>
    </row>
    <row r="209" spans="1:12">
      <c r="A209">
        <v>207</v>
      </c>
      <c r="B209">
        <v>2021</v>
      </c>
      <c r="C209" t="s">
        <v>17</v>
      </c>
      <c r="D209" t="s">
        <v>12</v>
      </c>
      <c r="E209" t="s">
        <v>43</v>
      </c>
      <c r="F209">
        <v>165000</v>
      </c>
      <c r="G209" t="s">
        <v>19</v>
      </c>
      <c r="H209">
        <v>165000</v>
      </c>
      <c r="I209" t="s">
        <v>29</v>
      </c>
      <c r="J209">
        <v>0</v>
      </c>
      <c r="K209" t="s">
        <v>29</v>
      </c>
      <c r="L209" t="s">
        <v>25</v>
      </c>
    </row>
    <row r="210" spans="1:12">
      <c r="A210">
        <v>208</v>
      </c>
      <c r="B210">
        <v>2021</v>
      </c>
      <c r="C210" t="s">
        <v>11</v>
      </c>
      <c r="D210" t="s">
        <v>73</v>
      </c>
      <c r="E210" t="s">
        <v>43</v>
      </c>
      <c r="F210">
        <v>20000</v>
      </c>
      <c r="G210" t="s">
        <v>19</v>
      </c>
      <c r="H210">
        <v>20000</v>
      </c>
      <c r="I210" t="s">
        <v>77</v>
      </c>
      <c r="J210">
        <v>0</v>
      </c>
      <c r="K210" t="s">
        <v>29</v>
      </c>
      <c r="L210" t="s">
        <v>16</v>
      </c>
    </row>
    <row r="211" spans="1:12">
      <c r="A211">
        <v>209</v>
      </c>
      <c r="B211">
        <v>2021</v>
      </c>
      <c r="C211" t="s">
        <v>17</v>
      </c>
      <c r="D211" t="s">
        <v>12</v>
      </c>
      <c r="E211" t="s">
        <v>105</v>
      </c>
      <c r="F211">
        <v>120000</v>
      </c>
      <c r="G211" t="s">
        <v>19</v>
      </c>
      <c r="H211">
        <v>120000</v>
      </c>
      <c r="I211" t="s">
        <v>29</v>
      </c>
      <c r="J211">
        <v>0</v>
      </c>
      <c r="K211" t="s">
        <v>29</v>
      </c>
      <c r="L211" t="s">
        <v>16</v>
      </c>
    </row>
    <row r="212" spans="1:12">
      <c r="A212">
        <v>210</v>
      </c>
      <c r="B212">
        <v>2021</v>
      </c>
      <c r="C212" t="s">
        <v>11</v>
      </c>
      <c r="D212" t="s">
        <v>12</v>
      </c>
      <c r="E212" t="s">
        <v>28</v>
      </c>
      <c r="F212">
        <v>21000</v>
      </c>
      <c r="G212" t="s">
        <v>14</v>
      </c>
      <c r="H212">
        <v>24823</v>
      </c>
      <c r="I212" t="s">
        <v>118</v>
      </c>
      <c r="J212">
        <v>50</v>
      </c>
      <c r="K212" t="s">
        <v>118</v>
      </c>
      <c r="L212" t="s">
        <v>16</v>
      </c>
    </row>
    <row r="213" spans="1:12">
      <c r="A213">
        <v>211</v>
      </c>
      <c r="B213">
        <v>2021</v>
      </c>
      <c r="C213" t="s">
        <v>11</v>
      </c>
      <c r="D213" t="s">
        <v>12</v>
      </c>
      <c r="E213" t="s">
        <v>55</v>
      </c>
      <c r="F213">
        <v>48000</v>
      </c>
      <c r="G213" t="s">
        <v>14</v>
      </c>
      <c r="H213">
        <v>56738</v>
      </c>
      <c r="I213" t="s">
        <v>38</v>
      </c>
      <c r="J213">
        <v>50</v>
      </c>
      <c r="K213" t="s">
        <v>38</v>
      </c>
      <c r="L213" t="s">
        <v>21</v>
      </c>
    </row>
    <row r="214" spans="1:12">
      <c r="A214">
        <v>212</v>
      </c>
      <c r="B214">
        <v>2021</v>
      </c>
      <c r="C214" t="s">
        <v>11</v>
      </c>
      <c r="D214" t="s">
        <v>12</v>
      </c>
      <c r="E214" t="s">
        <v>43</v>
      </c>
      <c r="F214">
        <v>48000</v>
      </c>
      <c r="G214" t="s">
        <v>23</v>
      </c>
      <c r="H214">
        <v>66022</v>
      </c>
      <c r="I214" t="s">
        <v>119</v>
      </c>
      <c r="J214">
        <v>50</v>
      </c>
      <c r="K214" t="s">
        <v>24</v>
      </c>
      <c r="L214" t="s">
        <v>21</v>
      </c>
    </row>
    <row r="215" spans="1:12">
      <c r="A215">
        <v>213</v>
      </c>
      <c r="B215">
        <v>2021</v>
      </c>
      <c r="C215" t="s">
        <v>30</v>
      </c>
      <c r="D215" t="s">
        <v>12</v>
      </c>
      <c r="E215" t="s">
        <v>22</v>
      </c>
      <c r="F215">
        <v>435000</v>
      </c>
      <c r="G215" t="s">
        <v>39</v>
      </c>
      <c r="H215">
        <v>5882</v>
      </c>
      <c r="I215" t="s">
        <v>40</v>
      </c>
      <c r="J215">
        <v>0</v>
      </c>
      <c r="K215" t="s">
        <v>120</v>
      </c>
      <c r="L215" t="s">
        <v>16</v>
      </c>
    </row>
    <row r="216" spans="1:12">
      <c r="A216">
        <v>214</v>
      </c>
      <c r="B216">
        <v>2021</v>
      </c>
      <c r="C216" t="s">
        <v>30</v>
      </c>
      <c r="D216" t="s">
        <v>12</v>
      </c>
      <c r="E216" t="s">
        <v>28</v>
      </c>
      <c r="F216">
        <v>21000</v>
      </c>
      <c r="G216" t="s">
        <v>14</v>
      </c>
      <c r="H216">
        <v>24823</v>
      </c>
      <c r="I216" t="s">
        <v>15</v>
      </c>
      <c r="J216">
        <v>50</v>
      </c>
      <c r="K216" t="s">
        <v>15</v>
      </c>
      <c r="L216" t="s">
        <v>25</v>
      </c>
    </row>
    <row r="217" spans="1:12">
      <c r="A217">
        <v>215</v>
      </c>
      <c r="B217">
        <v>2021</v>
      </c>
      <c r="C217" t="s">
        <v>17</v>
      </c>
      <c r="D217" t="s">
        <v>12</v>
      </c>
      <c r="E217" t="s">
        <v>97</v>
      </c>
      <c r="F217">
        <v>185000</v>
      </c>
      <c r="G217" t="s">
        <v>19</v>
      </c>
      <c r="H217">
        <v>185000</v>
      </c>
      <c r="I217" t="s">
        <v>29</v>
      </c>
      <c r="J217">
        <v>100</v>
      </c>
      <c r="K217" t="s">
        <v>29</v>
      </c>
      <c r="L217" t="s">
        <v>16</v>
      </c>
    </row>
    <row r="218" spans="1:12">
      <c r="A218">
        <v>216</v>
      </c>
      <c r="B218">
        <v>2021</v>
      </c>
      <c r="C218" t="s">
        <v>30</v>
      </c>
      <c r="D218" t="s">
        <v>47</v>
      </c>
      <c r="E218" t="s">
        <v>74</v>
      </c>
      <c r="F218">
        <v>180000</v>
      </c>
      <c r="G218" t="s">
        <v>71</v>
      </c>
      <c r="H218">
        <v>28609</v>
      </c>
      <c r="I218" t="s">
        <v>72</v>
      </c>
      <c r="J218">
        <v>50</v>
      </c>
      <c r="K218" t="s">
        <v>72</v>
      </c>
      <c r="L218" t="s">
        <v>21</v>
      </c>
    </row>
    <row r="219" spans="1:12">
      <c r="A219">
        <v>217</v>
      </c>
      <c r="B219">
        <v>2021</v>
      </c>
      <c r="C219" t="s">
        <v>11</v>
      </c>
      <c r="D219" t="s">
        <v>12</v>
      </c>
      <c r="E219" t="s">
        <v>13</v>
      </c>
      <c r="F219">
        <v>76760</v>
      </c>
      <c r="G219" t="s">
        <v>14</v>
      </c>
      <c r="H219">
        <v>90734</v>
      </c>
      <c r="I219" t="s">
        <v>15</v>
      </c>
      <c r="J219">
        <v>50</v>
      </c>
      <c r="K219" t="s">
        <v>15</v>
      </c>
      <c r="L219" t="s">
        <v>16</v>
      </c>
    </row>
    <row r="220" spans="1:12">
      <c r="A220">
        <v>218</v>
      </c>
      <c r="B220">
        <v>2021</v>
      </c>
      <c r="C220" t="s">
        <v>11</v>
      </c>
      <c r="D220" t="s">
        <v>12</v>
      </c>
      <c r="E220" t="s">
        <v>28</v>
      </c>
      <c r="F220">
        <v>75000</v>
      </c>
      <c r="G220" t="s">
        <v>14</v>
      </c>
      <c r="H220">
        <v>88654</v>
      </c>
      <c r="I220" t="s">
        <v>102</v>
      </c>
      <c r="J220">
        <v>100</v>
      </c>
      <c r="K220" t="s">
        <v>102</v>
      </c>
      <c r="L220" t="s">
        <v>25</v>
      </c>
    </row>
    <row r="221" spans="1:12">
      <c r="A221">
        <v>219</v>
      </c>
      <c r="B221">
        <v>2021</v>
      </c>
      <c r="C221" t="s">
        <v>17</v>
      </c>
      <c r="D221" t="s">
        <v>12</v>
      </c>
      <c r="E221" t="s">
        <v>105</v>
      </c>
      <c r="F221">
        <v>140000</v>
      </c>
      <c r="G221" t="s">
        <v>19</v>
      </c>
      <c r="H221">
        <v>140000</v>
      </c>
      <c r="I221" t="s">
        <v>29</v>
      </c>
      <c r="J221">
        <v>100</v>
      </c>
      <c r="K221" t="s">
        <v>29</v>
      </c>
      <c r="L221" t="s">
        <v>16</v>
      </c>
    </row>
    <row r="222" spans="1:12">
      <c r="A222">
        <v>220</v>
      </c>
      <c r="B222">
        <v>2021</v>
      </c>
      <c r="C222" t="s">
        <v>11</v>
      </c>
      <c r="D222" t="s">
        <v>12</v>
      </c>
      <c r="E222" t="s">
        <v>28</v>
      </c>
      <c r="F222">
        <v>180000</v>
      </c>
      <c r="G222" t="s">
        <v>85</v>
      </c>
      <c r="H222">
        <v>46597</v>
      </c>
      <c r="I222" t="s">
        <v>45</v>
      </c>
      <c r="J222">
        <v>100</v>
      </c>
      <c r="K222" t="s">
        <v>45</v>
      </c>
      <c r="L222" t="s">
        <v>16</v>
      </c>
    </row>
    <row r="223" spans="1:12">
      <c r="A223">
        <v>221</v>
      </c>
      <c r="B223">
        <v>2021</v>
      </c>
      <c r="C223" t="s">
        <v>11</v>
      </c>
      <c r="D223" t="s">
        <v>12</v>
      </c>
      <c r="E223" t="s">
        <v>13</v>
      </c>
      <c r="F223">
        <v>85000</v>
      </c>
      <c r="G223" t="s">
        <v>23</v>
      </c>
      <c r="H223">
        <v>116914</v>
      </c>
      <c r="I223" t="s">
        <v>24</v>
      </c>
      <c r="J223">
        <v>50</v>
      </c>
      <c r="K223" t="s">
        <v>24</v>
      </c>
      <c r="L223" t="s">
        <v>16</v>
      </c>
    </row>
    <row r="224" spans="1:12">
      <c r="A224">
        <v>222</v>
      </c>
      <c r="B224">
        <v>2021</v>
      </c>
      <c r="C224" t="s">
        <v>11</v>
      </c>
      <c r="D224" t="s">
        <v>12</v>
      </c>
      <c r="E224" t="s">
        <v>13</v>
      </c>
      <c r="F224">
        <v>2500000</v>
      </c>
      <c r="G224" t="s">
        <v>39</v>
      </c>
      <c r="H224">
        <v>33808</v>
      </c>
      <c r="I224" t="s">
        <v>40</v>
      </c>
      <c r="J224">
        <v>0</v>
      </c>
      <c r="K224" t="s">
        <v>40</v>
      </c>
      <c r="L224" t="s">
        <v>25</v>
      </c>
    </row>
    <row r="225" spans="1:12">
      <c r="A225">
        <v>223</v>
      </c>
      <c r="B225">
        <v>2021</v>
      </c>
      <c r="C225" t="s">
        <v>11</v>
      </c>
      <c r="D225" t="s">
        <v>12</v>
      </c>
      <c r="E225" t="s">
        <v>13</v>
      </c>
      <c r="F225">
        <v>40900</v>
      </c>
      <c r="G225" t="s">
        <v>23</v>
      </c>
      <c r="H225">
        <v>56256</v>
      </c>
      <c r="I225" t="s">
        <v>24</v>
      </c>
      <c r="J225">
        <v>50</v>
      </c>
      <c r="K225" t="s">
        <v>24</v>
      </c>
      <c r="L225" t="s">
        <v>16</v>
      </c>
    </row>
    <row r="226" spans="1:12">
      <c r="A226">
        <v>224</v>
      </c>
      <c r="B226">
        <v>2021</v>
      </c>
      <c r="C226" t="s">
        <v>17</v>
      </c>
      <c r="D226" t="s">
        <v>12</v>
      </c>
      <c r="E226" t="s">
        <v>18</v>
      </c>
      <c r="F226">
        <v>225000</v>
      </c>
      <c r="G226" t="s">
        <v>19</v>
      </c>
      <c r="H226">
        <v>225000</v>
      </c>
      <c r="I226" t="s">
        <v>29</v>
      </c>
      <c r="J226">
        <v>100</v>
      </c>
      <c r="K226" t="s">
        <v>62</v>
      </c>
      <c r="L226" t="s">
        <v>16</v>
      </c>
    </row>
    <row r="227" spans="1:12">
      <c r="A227">
        <v>225</v>
      </c>
      <c r="B227">
        <v>2021</v>
      </c>
      <c r="C227" t="s">
        <v>53</v>
      </c>
      <c r="D227" t="s">
        <v>59</v>
      </c>
      <c r="E227" t="s">
        <v>76</v>
      </c>
      <c r="F227">
        <v>416000</v>
      </c>
      <c r="G227" t="s">
        <v>19</v>
      </c>
      <c r="H227">
        <v>416000</v>
      </c>
      <c r="I227" t="s">
        <v>29</v>
      </c>
      <c r="J227">
        <v>100</v>
      </c>
      <c r="K227" t="s">
        <v>29</v>
      </c>
      <c r="L227" t="s">
        <v>21</v>
      </c>
    </row>
    <row r="228" spans="1:12">
      <c r="A228">
        <v>226</v>
      </c>
      <c r="B228">
        <v>2021</v>
      </c>
      <c r="C228" t="s">
        <v>17</v>
      </c>
      <c r="D228" t="s">
        <v>12</v>
      </c>
      <c r="E228" t="s">
        <v>13</v>
      </c>
      <c r="F228">
        <v>110000</v>
      </c>
      <c r="G228" t="s">
        <v>61</v>
      </c>
      <c r="H228">
        <v>87738</v>
      </c>
      <c r="I228" t="s">
        <v>62</v>
      </c>
      <c r="J228">
        <v>100</v>
      </c>
      <c r="K228" t="s">
        <v>62</v>
      </c>
      <c r="L228" t="s">
        <v>21</v>
      </c>
    </row>
    <row r="229" spans="1:12">
      <c r="A229">
        <v>227</v>
      </c>
      <c r="B229">
        <v>2021</v>
      </c>
      <c r="C229" t="s">
        <v>11</v>
      </c>
      <c r="D229" t="s">
        <v>12</v>
      </c>
      <c r="E229" t="s">
        <v>13</v>
      </c>
      <c r="F229">
        <v>75000</v>
      </c>
      <c r="G229" t="s">
        <v>14</v>
      </c>
      <c r="H229">
        <v>88654</v>
      </c>
      <c r="I229" t="s">
        <v>15</v>
      </c>
      <c r="J229">
        <v>50</v>
      </c>
      <c r="K229" t="s">
        <v>15</v>
      </c>
      <c r="L229" t="s">
        <v>16</v>
      </c>
    </row>
    <row r="230" spans="1:12">
      <c r="A230">
        <v>228</v>
      </c>
      <c r="B230">
        <v>2021</v>
      </c>
      <c r="C230" t="s">
        <v>17</v>
      </c>
      <c r="D230" t="s">
        <v>12</v>
      </c>
      <c r="E230" t="s">
        <v>13</v>
      </c>
      <c r="F230">
        <v>135000</v>
      </c>
      <c r="G230" t="s">
        <v>19</v>
      </c>
      <c r="H230">
        <v>135000</v>
      </c>
      <c r="I230" t="s">
        <v>29</v>
      </c>
      <c r="J230">
        <v>0</v>
      </c>
      <c r="K230" t="s">
        <v>29</v>
      </c>
      <c r="L230" t="s">
        <v>16</v>
      </c>
    </row>
    <row r="231" spans="1:12">
      <c r="A231">
        <v>229</v>
      </c>
      <c r="B231">
        <v>2021</v>
      </c>
      <c r="C231" t="s">
        <v>17</v>
      </c>
      <c r="D231" t="s">
        <v>12</v>
      </c>
      <c r="E231" t="s">
        <v>31</v>
      </c>
      <c r="F231">
        <v>90000</v>
      </c>
      <c r="G231" t="s">
        <v>61</v>
      </c>
      <c r="H231">
        <v>71786</v>
      </c>
      <c r="I231" t="s">
        <v>62</v>
      </c>
      <c r="J231">
        <v>100</v>
      </c>
      <c r="K231" t="s">
        <v>62</v>
      </c>
      <c r="L231" t="s">
        <v>25</v>
      </c>
    </row>
    <row r="232" spans="1:12">
      <c r="A232">
        <v>230</v>
      </c>
      <c r="B232">
        <v>2021</v>
      </c>
      <c r="C232" t="s">
        <v>30</v>
      </c>
      <c r="D232" t="s">
        <v>12</v>
      </c>
      <c r="E232" t="s">
        <v>22</v>
      </c>
      <c r="F232">
        <v>1200000</v>
      </c>
      <c r="G232" t="s">
        <v>39</v>
      </c>
      <c r="H232">
        <v>16228</v>
      </c>
      <c r="I232" t="s">
        <v>40</v>
      </c>
      <c r="J232">
        <v>100</v>
      </c>
      <c r="K232" t="s">
        <v>40</v>
      </c>
      <c r="L232" t="s">
        <v>16</v>
      </c>
    </row>
    <row r="233" spans="1:12">
      <c r="A233">
        <v>231</v>
      </c>
      <c r="B233">
        <v>2021</v>
      </c>
      <c r="C233" t="s">
        <v>17</v>
      </c>
      <c r="D233" t="s">
        <v>12</v>
      </c>
      <c r="E233" t="s">
        <v>69</v>
      </c>
      <c r="F233">
        <v>256000</v>
      </c>
      <c r="G233" t="s">
        <v>19</v>
      </c>
      <c r="H233">
        <v>256000</v>
      </c>
      <c r="I233" t="s">
        <v>29</v>
      </c>
      <c r="J233">
        <v>100</v>
      </c>
      <c r="K233" t="s">
        <v>29</v>
      </c>
      <c r="L233" t="s">
        <v>21</v>
      </c>
    </row>
    <row r="234" spans="1:12">
      <c r="A234">
        <v>232</v>
      </c>
      <c r="B234">
        <v>2021</v>
      </c>
      <c r="C234" t="s">
        <v>17</v>
      </c>
      <c r="D234" t="s">
        <v>12</v>
      </c>
      <c r="E234" t="s">
        <v>94</v>
      </c>
      <c r="F234">
        <v>200000</v>
      </c>
      <c r="G234" t="s">
        <v>19</v>
      </c>
      <c r="H234">
        <v>200000</v>
      </c>
      <c r="I234" t="s">
        <v>29</v>
      </c>
      <c r="J234">
        <v>100</v>
      </c>
      <c r="K234" t="s">
        <v>29</v>
      </c>
      <c r="L234" t="s">
        <v>16</v>
      </c>
    </row>
    <row r="235" spans="1:12">
      <c r="A235">
        <v>233</v>
      </c>
      <c r="B235">
        <v>2021</v>
      </c>
      <c r="C235" t="s">
        <v>17</v>
      </c>
      <c r="D235" t="s">
        <v>12</v>
      </c>
      <c r="E235" t="s">
        <v>31</v>
      </c>
      <c r="F235">
        <v>200000</v>
      </c>
      <c r="G235" t="s">
        <v>19</v>
      </c>
      <c r="H235">
        <v>200000</v>
      </c>
      <c r="I235" t="s">
        <v>29</v>
      </c>
      <c r="J235">
        <v>100</v>
      </c>
      <c r="K235" t="s">
        <v>29</v>
      </c>
      <c r="L235" t="s">
        <v>16</v>
      </c>
    </row>
    <row r="236" spans="1:12">
      <c r="A236">
        <v>234</v>
      </c>
      <c r="B236">
        <v>2021</v>
      </c>
      <c r="C236" t="s">
        <v>11</v>
      </c>
      <c r="D236" t="s">
        <v>12</v>
      </c>
      <c r="E236" t="s">
        <v>109</v>
      </c>
      <c r="F236">
        <v>180000</v>
      </c>
      <c r="G236" t="s">
        <v>19</v>
      </c>
      <c r="H236">
        <v>180000</v>
      </c>
      <c r="I236" t="s">
        <v>29</v>
      </c>
      <c r="J236">
        <v>100</v>
      </c>
      <c r="K236" t="s">
        <v>29</v>
      </c>
      <c r="L236" t="s">
        <v>16</v>
      </c>
    </row>
    <row r="237" spans="1:12">
      <c r="A237">
        <v>235</v>
      </c>
      <c r="B237">
        <v>2021</v>
      </c>
      <c r="C237" t="s">
        <v>11</v>
      </c>
      <c r="D237" t="s">
        <v>12</v>
      </c>
      <c r="E237" t="s">
        <v>106</v>
      </c>
      <c r="F237">
        <v>110000</v>
      </c>
      <c r="G237" t="s">
        <v>19</v>
      </c>
      <c r="H237">
        <v>110000</v>
      </c>
      <c r="I237" t="s">
        <v>29</v>
      </c>
      <c r="J237">
        <v>0</v>
      </c>
      <c r="K237" t="s">
        <v>29</v>
      </c>
      <c r="L237" t="s">
        <v>21</v>
      </c>
    </row>
    <row r="238" spans="1:12">
      <c r="A238">
        <v>236</v>
      </c>
      <c r="B238">
        <v>2021</v>
      </c>
      <c r="C238" t="s">
        <v>11</v>
      </c>
      <c r="D238" t="s">
        <v>12</v>
      </c>
      <c r="E238" t="s">
        <v>55</v>
      </c>
      <c r="F238">
        <v>80000</v>
      </c>
      <c r="G238" t="s">
        <v>61</v>
      </c>
      <c r="H238">
        <v>63810</v>
      </c>
      <c r="I238" t="s">
        <v>62</v>
      </c>
      <c r="J238">
        <v>100</v>
      </c>
      <c r="K238" t="s">
        <v>62</v>
      </c>
      <c r="L238" t="s">
        <v>25</v>
      </c>
    </row>
    <row r="239" spans="1:12">
      <c r="A239">
        <v>237</v>
      </c>
      <c r="B239">
        <v>2021</v>
      </c>
      <c r="C239" t="s">
        <v>11</v>
      </c>
      <c r="D239" t="s">
        <v>12</v>
      </c>
      <c r="E239" t="s">
        <v>13</v>
      </c>
      <c r="F239">
        <v>39600</v>
      </c>
      <c r="G239" t="s">
        <v>14</v>
      </c>
      <c r="H239">
        <v>46809</v>
      </c>
      <c r="I239" t="s">
        <v>67</v>
      </c>
      <c r="J239">
        <v>100</v>
      </c>
      <c r="K239" t="s">
        <v>67</v>
      </c>
      <c r="L239" t="s">
        <v>25</v>
      </c>
    </row>
    <row r="240" spans="1:12">
      <c r="A240">
        <v>238</v>
      </c>
      <c r="B240">
        <v>2021</v>
      </c>
      <c r="C240" t="s">
        <v>30</v>
      </c>
      <c r="D240" t="s">
        <v>12</v>
      </c>
      <c r="E240" t="s">
        <v>13</v>
      </c>
      <c r="F240">
        <v>4000</v>
      </c>
      <c r="G240" t="s">
        <v>19</v>
      </c>
      <c r="H240">
        <v>4000</v>
      </c>
      <c r="I240" t="s">
        <v>101</v>
      </c>
      <c r="J240">
        <v>0</v>
      </c>
      <c r="K240" t="s">
        <v>101</v>
      </c>
      <c r="L240" t="s">
        <v>25</v>
      </c>
    </row>
    <row r="241" spans="1:12">
      <c r="A241">
        <v>239</v>
      </c>
      <c r="B241">
        <v>2021</v>
      </c>
      <c r="C241" t="s">
        <v>30</v>
      </c>
      <c r="D241" t="s">
        <v>12</v>
      </c>
      <c r="E241" t="s">
        <v>43</v>
      </c>
      <c r="F241">
        <v>1600000</v>
      </c>
      <c r="G241" t="s">
        <v>39</v>
      </c>
      <c r="H241">
        <v>21637</v>
      </c>
      <c r="I241" t="s">
        <v>40</v>
      </c>
      <c r="J241">
        <v>50</v>
      </c>
      <c r="K241" t="s">
        <v>40</v>
      </c>
      <c r="L241" t="s">
        <v>25</v>
      </c>
    </row>
    <row r="242" spans="1:12">
      <c r="A242">
        <v>240</v>
      </c>
      <c r="B242">
        <v>2021</v>
      </c>
      <c r="C242" t="s">
        <v>17</v>
      </c>
      <c r="D242" t="s">
        <v>12</v>
      </c>
      <c r="E242" t="s">
        <v>13</v>
      </c>
      <c r="F242">
        <v>130000</v>
      </c>
      <c r="G242" t="s">
        <v>61</v>
      </c>
      <c r="H242">
        <v>103691</v>
      </c>
      <c r="I242" t="s">
        <v>62</v>
      </c>
      <c r="J242">
        <v>100</v>
      </c>
      <c r="K242" t="s">
        <v>62</v>
      </c>
      <c r="L242" t="s">
        <v>16</v>
      </c>
    </row>
    <row r="243" spans="1:12">
      <c r="A243">
        <v>241</v>
      </c>
      <c r="B243">
        <v>2021</v>
      </c>
      <c r="C243" t="s">
        <v>11</v>
      </c>
      <c r="D243" t="s">
        <v>12</v>
      </c>
      <c r="E243" t="s">
        <v>31</v>
      </c>
      <c r="F243">
        <v>80000</v>
      </c>
      <c r="G243" t="s">
        <v>19</v>
      </c>
      <c r="H243">
        <v>80000</v>
      </c>
      <c r="I243" t="s">
        <v>29</v>
      </c>
      <c r="J243">
        <v>100</v>
      </c>
      <c r="K243" t="s">
        <v>29</v>
      </c>
      <c r="L243" t="s">
        <v>16</v>
      </c>
    </row>
    <row r="244" spans="1:12">
      <c r="A244">
        <v>242</v>
      </c>
      <c r="B244">
        <v>2021</v>
      </c>
      <c r="C244" t="s">
        <v>11</v>
      </c>
      <c r="D244" t="s">
        <v>12</v>
      </c>
      <c r="E244" t="s">
        <v>43</v>
      </c>
      <c r="F244">
        <v>110000</v>
      </c>
      <c r="G244" t="s">
        <v>19</v>
      </c>
      <c r="H244">
        <v>110000</v>
      </c>
      <c r="I244" t="s">
        <v>29</v>
      </c>
      <c r="J244">
        <v>100</v>
      </c>
      <c r="K244" t="s">
        <v>29</v>
      </c>
      <c r="L244" t="s">
        <v>16</v>
      </c>
    </row>
    <row r="245" spans="1:12">
      <c r="A245">
        <v>243</v>
      </c>
      <c r="B245">
        <v>2021</v>
      </c>
      <c r="C245" t="s">
        <v>17</v>
      </c>
      <c r="D245" t="s">
        <v>12</v>
      </c>
      <c r="E245" t="s">
        <v>13</v>
      </c>
      <c r="F245">
        <v>165000</v>
      </c>
      <c r="G245" t="s">
        <v>19</v>
      </c>
      <c r="H245">
        <v>165000</v>
      </c>
      <c r="I245" t="s">
        <v>29</v>
      </c>
      <c r="J245">
        <v>100</v>
      </c>
      <c r="K245" t="s">
        <v>29</v>
      </c>
      <c r="L245" t="s">
        <v>16</v>
      </c>
    </row>
    <row r="246" spans="1:12">
      <c r="A246">
        <v>244</v>
      </c>
      <c r="B246">
        <v>2021</v>
      </c>
      <c r="C246" t="s">
        <v>30</v>
      </c>
      <c r="D246" t="s">
        <v>12</v>
      </c>
      <c r="E246" t="s">
        <v>70</v>
      </c>
      <c r="F246">
        <v>1335000</v>
      </c>
      <c r="G246" t="s">
        <v>39</v>
      </c>
      <c r="H246">
        <v>18053</v>
      </c>
      <c r="I246" t="s">
        <v>40</v>
      </c>
      <c r="J246">
        <v>100</v>
      </c>
      <c r="K246" t="s">
        <v>121</v>
      </c>
      <c r="L246" t="s">
        <v>21</v>
      </c>
    </row>
    <row r="247" spans="1:12">
      <c r="A247">
        <v>245</v>
      </c>
      <c r="B247">
        <v>2021</v>
      </c>
      <c r="C247" t="s">
        <v>11</v>
      </c>
      <c r="D247" t="s">
        <v>12</v>
      </c>
      <c r="E247" t="s">
        <v>43</v>
      </c>
      <c r="F247">
        <v>52500</v>
      </c>
      <c r="G247" t="s">
        <v>23</v>
      </c>
      <c r="H247">
        <v>72212</v>
      </c>
      <c r="I247" t="s">
        <v>24</v>
      </c>
      <c r="J247">
        <v>50</v>
      </c>
      <c r="K247" t="s">
        <v>24</v>
      </c>
      <c r="L247" t="s">
        <v>16</v>
      </c>
    </row>
    <row r="248" spans="1:12">
      <c r="A248">
        <v>246</v>
      </c>
      <c r="B248">
        <v>2021</v>
      </c>
      <c r="C248" t="s">
        <v>30</v>
      </c>
      <c r="D248" t="s">
        <v>12</v>
      </c>
      <c r="E248" t="s">
        <v>13</v>
      </c>
      <c r="F248">
        <v>31000</v>
      </c>
      <c r="G248" t="s">
        <v>14</v>
      </c>
      <c r="H248">
        <v>36643</v>
      </c>
      <c r="I248" t="s">
        <v>38</v>
      </c>
      <c r="J248">
        <v>50</v>
      </c>
      <c r="K248" t="s">
        <v>38</v>
      </c>
      <c r="L248" t="s">
        <v>16</v>
      </c>
    </row>
    <row r="249" spans="1:12">
      <c r="A249">
        <v>247</v>
      </c>
      <c r="B249">
        <v>2021</v>
      </c>
      <c r="C249" t="s">
        <v>11</v>
      </c>
      <c r="D249" t="s">
        <v>12</v>
      </c>
      <c r="E249" t="s">
        <v>43</v>
      </c>
      <c r="F249">
        <v>108000</v>
      </c>
      <c r="G249" t="s">
        <v>122</v>
      </c>
      <c r="H249">
        <v>12103</v>
      </c>
      <c r="I249" t="s">
        <v>123</v>
      </c>
      <c r="J249">
        <v>0</v>
      </c>
      <c r="K249" t="s">
        <v>123</v>
      </c>
      <c r="L249" t="s">
        <v>25</v>
      </c>
    </row>
    <row r="250" spans="1:12">
      <c r="A250">
        <v>248</v>
      </c>
      <c r="B250">
        <v>2021</v>
      </c>
      <c r="C250" t="s">
        <v>17</v>
      </c>
      <c r="D250" t="s">
        <v>12</v>
      </c>
      <c r="E250" t="s">
        <v>43</v>
      </c>
      <c r="F250">
        <v>70000</v>
      </c>
      <c r="G250" t="s">
        <v>23</v>
      </c>
      <c r="H250">
        <v>96282</v>
      </c>
      <c r="I250" t="s">
        <v>24</v>
      </c>
      <c r="J250">
        <v>50</v>
      </c>
      <c r="K250" t="s">
        <v>24</v>
      </c>
      <c r="L250" t="s">
        <v>16</v>
      </c>
    </row>
    <row r="251" spans="1:12">
      <c r="A251">
        <v>249</v>
      </c>
      <c r="B251">
        <v>2021</v>
      </c>
      <c r="C251" t="s">
        <v>17</v>
      </c>
      <c r="D251" t="s">
        <v>12</v>
      </c>
      <c r="E251" t="s">
        <v>124</v>
      </c>
      <c r="F251">
        <v>170000</v>
      </c>
      <c r="G251" t="s">
        <v>19</v>
      </c>
      <c r="H251">
        <v>170000</v>
      </c>
      <c r="I251" t="s">
        <v>29</v>
      </c>
      <c r="J251">
        <v>100</v>
      </c>
      <c r="K251" t="s">
        <v>29</v>
      </c>
      <c r="L251" t="s">
        <v>25</v>
      </c>
    </row>
    <row r="252" spans="1:12">
      <c r="A252">
        <v>250</v>
      </c>
      <c r="B252">
        <v>2021</v>
      </c>
      <c r="C252" t="s">
        <v>11</v>
      </c>
      <c r="D252" t="s">
        <v>12</v>
      </c>
      <c r="E252" t="s">
        <v>13</v>
      </c>
      <c r="F252">
        <v>115000</v>
      </c>
      <c r="G252" t="s">
        <v>19</v>
      </c>
      <c r="H252">
        <v>115000</v>
      </c>
      <c r="I252" t="s">
        <v>29</v>
      </c>
      <c r="J252">
        <v>50</v>
      </c>
      <c r="K252" t="s">
        <v>29</v>
      </c>
      <c r="L252" t="s">
        <v>16</v>
      </c>
    </row>
    <row r="253" spans="1:12">
      <c r="A253">
        <v>251</v>
      </c>
      <c r="B253">
        <v>2021</v>
      </c>
      <c r="C253" t="s">
        <v>30</v>
      </c>
      <c r="D253" t="s">
        <v>12</v>
      </c>
      <c r="E253" t="s">
        <v>13</v>
      </c>
      <c r="F253">
        <v>90000</v>
      </c>
      <c r="G253" t="s">
        <v>19</v>
      </c>
      <c r="H253">
        <v>90000</v>
      </c>
      <c r="I253" t="s">
        <v>29</v>
      </c>
      <c r="J253">
        <v>100</v>
      </c>
      <c r="K253" t="s">
        <v>29</v>
      </c>
      <c r="L253" t="s">
        <v>21</v>
      </c>
    </row>
    <row r="254" spans="1:12">
      <c r="A254">
        <v>252</v>
      </c>
      <c r="B254">
        <v>2021</v>
      </c>
      <c r="C254" t="s">
        <v>53</v>
      </c>
      <c r="D254" t="s">
        <v>12</v>
      </c>
      <c r="E254" t="s">
        <v>97</v>
      </c>
      <c r="F254">
        <v>600000</v>
      </c>
      <c r="G254" t="s">
        <v>19</v>
      </c>
      <c r="H254">
        <v>600000</v>
      </c>
      <c r="I254" t="s">
        <v>29</v>
      </c>
      <c r="J254">
        <v>100</v>
      </c>
      <c r="K254" t="s">
        <v>29</v>
      </c>
      <c r="L254" t="s">
        <v>16</v>
      </c>
    </row>
    <row r="255" spans="1:12">
      <c r="A255">
        <v>253</v>
      </c>
      <c r="B255">
        <v>2021</v>
      </c>
      <c r="C255" t="s">
        <v>30</v>
      </c>
      <c r="D255" t="s">
        <v>12</v>
      </c>
      <c r="E255" t="s">
        <v>13</v>
      </c>
      <c r="F255">
        <v>2100000</v>
      </c>
      <c r="G255" t="s">
        <v>39</v>
      </c>
      <c r="H255">
        <v>28399</v>
      </c>
      <c r="I255" t="s">
        <v>40</v>
      </c>
      <c r="J255">
        <v>100</v>
      </c>
      <c r="K255" t="s">
        <v>40</v>
      </c>
      <c r="L255" t="s">
        <v>25</v>
      </c>
    </row>
    <row r="256" spans="1:12">
      <c r="A256">
        <v>254</v>
      </c>
      <c r="B256">
        <v>2021</v>
      </c>
      <c r="C256" t="s">
        <v>11</v>
      </c>
      <c r="D256" t="s">
        <v>12</v>
      </c>
      <c r="E256" t="s">
        <v>31</v>
      </c>
      <c r="F256">
        <v>93000</v>
      </c>
      <c r="G256" t="s">
        <v>19</v>
      </c>
      <c r="H256">
        <v>93000</v>
      </c>
      <c r="I256" t="s">
        <v>29</v>
      </c>
      <c r="J256">
        <v>100</v>
      </c>
      <c r="K256" t="s">
        <v>29</v>
      </c>
      <c r="L256" t="s">
        <v>16</v>
      </c>
    </row>
    <row r="257" spans="1:12">
      <c r="A257">
        <v>255</v>
      </c>
      <c r="B257">
        <v>2021</v>
      </c>
      <c r="C257" t="s">
        <v>17</v>
      </c>
      <c r="D257" t="s">
        <v>12</v>
      </c>
      <c r="E257" t="s">
        <v>125</v>
      </c>
      <c r="F257">
        <v>125000</v>
      </c>
      <c r="G257" t="s">
        <v>61</v>
      </c>
      <c r="H257">
        <v>99703</v>
      </c>
      <c r="I257" t="s">
        <v>62</v>
      </c>
      <c r="J257">
        <v>50</v>
      </c>
      <c r="K257" t="s">
        <v>62</v>
      </c>
      <c r="L257" t="s">
        <v>25</v>
      </c>
    </row>
    <row r="258" spans="1:12">
      <c r="A258">
        <v>256</v>
      </c>
      <c r="B258">
        <v>2021</v>
      </c>
      <c r="C258" t="s">
        <v>11</v>
      </c>
      <c r="D258" t="s">
        <v>12</v>
      </c>
      <c r="E258" t="s">
        <v>43</v>
      </c>
      <c r="F258">
        <v>200000</v>
      </c>
      <c r="G258" t="s">
        <v>19</v>
      </c>
      <c r="H258">
        <v>200000</v>
      </c>
      <c r="I258" t="s">
        <v>29</v>
      </c>
      <c r="J258">
        <v>100</v>
      </c>
      <c r="K258" t="s">
        <v>29</v>
      </c>
      <c r="L258" t="s">
        <v>16</v>
      </c>
    </row>
    <row r="259" spans="1:12">
      <c r="A259">
        <v>257</v>
      </c>
      <c r="B259">
        <v>2021</v>
      </c>
      <c r="C259" t="s">
        <v>17</v>
      </c>
      <c r="D259" t="s">
        <v>12</v>
      </c>
      <c r="E259" t="s">
        <v>76</v>
      </c>
      <c r="F259">
        <v>147000</v>
      </c>
      <c r="G259" t="s">
        <v>14</v>
      </c>
      <c r="H259">
        <v>173762</v>
      </c>
      <c r="I259" t="s">
        <v>15</v>
      </c>
      <c r="J259">
        <v>100</v>
      </c>
      <c r="K259" t="s">
        <v>15</v>
      </c>
      <c r="L259" t="s">
        <v>25</v>
      </c>
    </row>
    <row r="260" spans="1:12">
      <c r="A260">
        <v>258</v>
      </c>
      <c r="B260">
        <v>2021</v>
      </c>
      <c r="C260" t="s">
        <v>17</v>
      </c>
      <c r="D260" t="s">
        <v>12</v>
      </c>
      <c r="E260" t="s">
        <v>28</v>
      </c>
      <c r="F260">
        <v>185000</v>
      </c>
      <c r="G260" t="s">
        <v>19</v>
      </c>
      <c r="H260">
        <v>185000</v>
      </c>
      <c r="I260" t="s">
        <v>29</v>
      </c>
      <c r="J260">
        <v>50</v>
      </c>
      <c r="K260" t="s">
        <v>29</v>
      </c>
      <c r="L260" t="s">
        <v>16</v>
      </c>
    </row>
    <row r="261" spans="1:12">
      <c r="A261">
        <v>259</v>
      </c>
      <c r="B261">
        <v>2021</v>
      </c>
      <c r="C261" t="s">
        <v>53</v>
      </c>
      <c r="D261" t="s">
        <v>12</v>
      </c>
      <c r="E261" t="s">
        <v>54</v>
      </c>
      <c r="F261">
        <v>120000</v>
      </c>
      <c r="G261" t="s">
        <v>14</v>
      </c>
      <c r="H261">
        <v>141846</v>
      </c>
      <c r="I261" t="s">
        <v>15</v>
      </c>
      <c r="J261">
        <v>0</v>
      </c>
      <c r="K261" t="s">
        <v>15</v>
      </c>
      <c r="L261" t="s">
        <v>16</v>
      </c>
    </row>
    <row r="262" spans="1:12">
      <c r="A262">
        <v>260</v>
      </c>
      <c r="B262">
        <v>2021</v>
      </c>
      <c r="C262" t="s">
        <v>11</v>
      </c>
      <c r="D262" t="s">
        <v>12</v>
      </c>
      <c r="E262" t="s">
        <v>13</v>
      </c>
      <c r="F262">
        <v>130000</v>
      </c>
      <c r="G262" t="s">
        <v>19</v>
      </c>
      <c r="H262">
        <v>130000</v>
      </c>
      <c r="I262" t="s">
        <v>29</v>
      </c>
      <c r="J262">
        <v>50</v>
      </c>
      <c r="K262" t="s">
        <v>29</v>
      </c>
      <c r="L262" t="s">
        <v>16</v>
      </c>
    </row>
    <row r="263" spans="1:12">
      <c r="A263">
        <v>261</v>
      </c>
      <c r="B263">
        <v>2021</v>
      </c>
      <c r="C263" t="s">
        <v>17</v>
      </c>
      <c r="D263" t="s">
        <v>12</v>
      </c>
      <c r="E263" t="s">
        <v>31</v>
      </c>
      <c r="F263">
        <v>54000</v>
      </c>
      <c r="G263" t="s">
        <v>14</v>
      </c>
      <c r="H263">
        <v>63831</v>
      </c>
      <c r="I263" t="s">
        <v>15</v>
      </c>
      <c r="J263">
        <v>50</v>
      </c>
      <c r="K263" t="s">
        <v>15</v>
      </c>
      <c r="L263" t="s">
        <v>16</v>
      </c>
    </row>
    <row r="264" spans="1:12">
      <c r="A264">
        <v>262</v>
      </c>
      <c r="B264">
        <v>2021</v>
      </c>
      <c r="C264" t="s">
        <v>11</v>
      </c>
      <c r="D264" t="s">
        <v>12</v>
      </c>
      <c r="E264" t="s">
        <v>13</v>
      </c>
      <c r="F264">
        <v>1250000</v>
      </c>
      <c r="G264" t="s">
        <v>39</v>
      </c>
      <c r="H264">
        <v>16904</v>
      </c>
      <c r="I264" t="s">
        <v>40</v>
      </c>
      <c r="J264">
        <v>100</v>
      </c>
      <c r="K264" t="s">
        <v>40</v>
      </c>
      <c r="L264" t="s">
        <v>21</v>
      </c>
    </row>
    <row r="265" spans="1:12">
      <c r="A265">
        <v>263</v>
      </c>
      <c r="B265">
        <v>2021</v>
      </c>
      <c r="C265" t="s">
        <v>17</v>
      </c>
      <c r="D265" t="s">
        <v>12</v>
      </c>
      <c r="E265" t="s">
        <v>28</v>
      </c>
      <c r="F265">
        <v>4900000</v>
      </c>
      <c r="G265" t="s">
        <v>39</v>
      </c>
      <c r="H265">
        <v>66265</v>
      </c>
      <c r="I265" t="s">
        <v>40</v>
      </c>
      <c r="J265">
        <v>0</v>
      </c>
      <c r="K265" t="s">
        <v>40</v>
      </c>
      <c r="L265" t="s">
        <v>16</v>
      </c>
    </row>
    <row r="266" spans="1:12">
      <c r="A266">
        <v>264</v>
      </c>
      <c r="B266">
        <v>2021</v>
      </c>
      <c r="C266" t="s">
        <v>11</v>
      </c>
      <c r="D266" t="s">
        <v>12</v>
      </c>
      <c r="E266" t="s">
        <v>13</v>
      </c>
      <c r="F266">
        <v>21600</v>
      </c>
      <c r="G266" t="s">
        <v>14</v>
      </c>
      <c r="H266">
        <v>25532</v>
      </c>
      <c r="I266" t="s">
        <v>126</v>
      </c>
      <c r="J266">
        <v>100</v>
      </c>
      <c r="K266" t="s">
        <v>15</v>
      </c>
      <c r="L266" t="s">
        <v>21</v>
      </c>
    </row>
    <row r="267" spans="1:12">
      <c r="A267">
        <v>265</v>
      </c>
      <c r="B267">
        <v>2021</v>
      </c>
      <c r="C267" t="s">
        <v>17</v>
      </c>
      <c r="D267" t="s">
        <v>12</v>
      </c>
      <c r="E267" t="s">
        <v>36</v>
      </c>
      <c r="F267">
        <v>160000</v>
      </c>
      <c r="G267" t="s">
        <v>19</v>
      </c>
      <c r="H267">
        <v>160000</v>
      </c>
      <c r="I267" t="s">
        <v>127</v>
      </c>
      <c r="J267">
        <v>50</v>
      </c>
      <c r="K267" t="s">
        <v>29</v>
      </c>
      <c r="L267" t="s">
        <v>21</v>
      </c>
    </row>
    <row r="268" spans="1:12">
      <c r="A268">
        <v>266</v>
      </c>
      <c r="B268">
        <v>2021</v>
      </c>
      <c r="C268" t="s">
        <v>11</v>
      </c>
      <c r="D268" t="s">
        <v>12</v>
      </c>
      <c r="E268" t="s">
        <v>43</v>
      </c>
      <c r="F268">
        <v>93150</v>
      </c>
      <c r="G268" t="s">
        <v>19</v>
      </c>
      <c r="H268">
        <v>93150</v>
      </c>
      <c r="I268" t="s">
        <v>29</v>
      </c>
      <c r="J268">
        <v>0</v>
      </c>
      <c r="K268" t="s">
        <v>29</v>
      </c>
      <c r="L268" t="s">
        <v>25</v>
      </c>
    </row>
    <row r="269" spans="1:12">
      <c r="A269">
        <v>267</v>
      </c>
      <c r="B269">
        <v>2021</v>
      </c>
      <c r="C269" t="s">
        <v>11</v>
      </c>
      <c r="D269" t="s">
        <v>12</v>
      </c>
      <c r="E269" t="s">
        <v>43</v>
      </c>
      <c r="F269">
        <v>111775</v>
      </c>
      <c r="G269" t="s">
        <v>19</v>
      </c>
      <c r="H269">
        <v>111775</v>
      </c>
      <c r="I269" t="s">
        <v>29</v>
      </c>
      <c r="J269">
        <v>0</v>
      </c>
      <c r="K269" t="s">
        <v>29</v>
      </c>
      <c r="L269" t="s">
        <v>25</v>
      </c>
    </row>
    <row r="270" spans="1:12">
      <c r="A270">
        <v>268</v>
      </c>
      <c r="B270">
        <v>2021</v>
      </c>
      <c r="C270" t="s">
        <v>11</v>
      </c>
      <c r="D270" t="s">
        <v>12</v>
      </c>
      <c r="E270" t="s">
        <v>43</v>
      </c>
      <c r="F270">
        <v>250000</v>
      </c>
      <c r="G270" t="s">
        <v>122</v>
      </c>
      <c r="H270">
        <v>28016</v>
      </c>
      <c r="I270" t="s">
        <v>123</v>
      </c>
      <c r="J270">
        <v>100</v>
      </c>
      <c r="K270" t="s">
        <v>123</v>
      </c>
      <c r="L270" t="s">
        <v>25</v>
      </c>
    </row>
    <row r="271" spans="1:12">
      <c r="A271">
        <v>269</v>
      </c>
      <c r="B271">
        <v>2021</v>
      </c>
      <c r="C271" t="s">
        <v>30</v>
      </c>
      <c r="D271" t="s">
        <v>12</v>
      </c>
      <c r="E271" t="s">
        <v>43</v>
      </c>
      <c r="F271">
        <v>55000</v>
      </c>
      <c r="G271" t="s">
        <v>14</v>
      </c>
      <c r="H271">
        <v>65013</v>
      </c>
      <c r="I271" t="s">
        <v>15</v>
      </c>
      <c r="J271">
        <v>50</v>
      </c>
      <c r="K271" t="s">
        <v>15</v>
      </c>
      <c r="L271" t="s">
        <v>25</v>
      </c>
    </row>
    <row r="272" spans="1:12">
      <c r="A272">
        <v>270</v>
      </c>
      <c r="B272">
        <v>2021</v>
      </c>
      <c r="C272" t="s">
        <v>30</v>
      </c>
      <c r="D272" t="s">
        <v>12</v>
      </c>
      <c r="E272" t="s">
        <v>43</v>
      </c>
      <c r="F272">
        <v>72500</v>
      </c>
      <c r="G272" t="s">
        <v>19</v>
      </c>
      <c r="H272">
        <v>72500</v>
      </c>
      <c r="I272" t="s">
        <v>29</v>
      </c>
      <c r="J272">
        <v>100</v>
      </c>
      <c r="K272" t="s">
        <v>29</v>
      </c>
      <c r="L272" t="s">
        <v>16</v>
      </c>
    </row>
    <row r="273" spans="1:12">
      <c r="A273">
        <v>271</v>
      </c>
      <c r="B273">
        <v>2021</v>
      </c>
      <c r="C273" t="s">
        <v>17</v>
      </c>
      <c r="D273" t="s">
        <v>12</v>
      </c>
      <c r="E273" t="s">
        <v>74</v>
      </c>
      <c r="F273">
        <v>102000</v>
      </c>
      <c r="G273" t="s">
        <v>117</v>
      </c>
      <c r="H273">
        <v>18907</v>
      </c>
      <c r="I273" t="s">
        <v>91</v>
      </c>
      <c r="J273">
        <v>0</v>
      </c>
      <c r="K273" t="s">
        <v>91</v>
      </c>
      <c r="L273" t="s">
        <v>25</v>
      </c>
    </row>
    <row r="274" spans="1:12">
      <c r="A274">
        <v>272</v>
      </c>
      <c r="B274">
        <v>2021</v>
      </c>
      <c r="C274" t="s">
        <v>30</v>
      </c>
      <c r="D274" t="s">
        <v>12</v>
      </c>
      <c r="E274" t="s">
        <v>46</v>
      </c>
      <c r="F274">
        <v>65000</v>
      </c>
      <c r="G274" t="s">
        <v>14</v>
      </c>
      <c r="H274">
        <v>76833</v>
      </c>
      <c r="I274" t="s">
        <v>15</v>
      </c>
      <c r="J274">
        <v>0</v>
      </c>
      <c r="K274" t="s">
        <v>15</v>
      </c>
      <c r="L274" t="s">
        <v>16</v>
      </c>
    </row>
    <row r="275" spans="1:12">
      <c r="A275">
        <v>273</v>
      </c>
      <c r="B275">
        <v>2021</v>
      </c>
      <c r="C275" t="s">
        <v>30</v>
      </c>
      <c r="D275" t="s">
        <v>12</v>
      </c>
      <c r="E275" t="s">
        <v>28</v>
      </c>
      <c r="F275">
        <v>85000</v>
      </c>
      <c r="G275" t="s">
        <v>19</v>
      </c>
      <c r="H275">
        <v>85000</v>
      </c>
      <c r="I275" t="s">
        <v>56</v>
      </c>
      <c r="J275">
        <v>100</v>
      </c>
      <c r="K275" t="s">
        <v>15</v>
      </c>
      <c r="L275" t="s">
        <v>21</v>
      </c>
    </row>
    <row r="276" spans="1:12">
      <c r="A276">
        <v>274</v>
      </c>
      <c r="B276">
        <v>2021</v>
      </c>
      <c r="C276" t="s">
        <v>17</v>
      </c>
      <c r="D276" t="s">
        <v>12</v>
      </c>
      <c r="E276" t="s">
        <v>13</v>
      </c>
      <c r="F276">
        <v>65720</v>
      </c>
      <c r="G276" t="s">
        <v>14</v>
      </c>
      <c r="H276">
        <v>77684</v>
      </c>
      <c r="I276" t="s">
        <v>38</v>
      </c>
      <c r="J276">
        <v>50</v>
      </c>
      <c r="K276" t="s">
        <v>38</v>
      </c>
      <c r="L276" t="s">
        <v>25</v>
      </c>
    </row>
    <row r="277" spans="1:12">
      <c r="A277">
        <v>275</v>
      </c>
      <c r="B277">
        <v>2021</v>
      </c>
      <c r="C277" t="s">
        <v>30</v>
      </c>
      <c r="D277" t="s">
        <v>12</v>
      </c>
      <c r="E277" t="s">
        <v>13</v>
      </c>
      <c r="F277">
        <v>100000</v>
      </c>
      <c r="G277" t="s">
        <v>19</v>
      </c>
      <c r="H277">
        <v>100000</v>
      </c>
      <c r="I277" t="s">
        <v>29</v>
      </c>
      <c r="J277">
        <v>100</v>
      </c>
      <c r="K277" t="s">
        <v>29</v>
      </c>
      <c r="L277" t="s">
        <v>25</v>
      </c>
    </row>
    <row r="278" spans="1:12">
      <c r="A278">
        <v>276</v>
      </c>
      <c r="B278">
        <v>2021</v>
      </c>
      <c r="C278" t="s">
        <v>30</v>
      </c>
      <c r="D278" t="s">
        <v>12</v>
      </c>
      <c r="E278" t="s">
        <v>13</v>
      </c>
      <c r="F278">
        <v>58000</v>
      </c>
      <c r="G278" t="s">
        <v>19</v>
      </c>
      <c r="H278">
        <v>58000</v>
      </c>
      <c r="I278" t="s">
        <v>29</v>
      </c>
      <c r="J278">
        <v>50</v>
      </c>
      <c r="K278" t="s">
        <v>29</v>
      </c>
      <c r="L278" t="s">
        <v>16</v>
      </c>
    </row>
    <row r="279" spans="1:12">
      <c r="A279">
        <v>277</v>
      </c>
      <c r="B279">
        <v>2021</v>
      </c>
      <c r="C279" t="s">
        <v>17</v>
      </c>
      <c r="D279" t="s">
        <v>12</v>
      </c>
      <c r="E279" t="s">
        <v>70</v>
      </c>
      <c r="F279">
        <v>55000</v>
      </c>
      <c r="G279" t="s">
        <v>19</v>
      </c>
      <c r="H279">
        <v>55000</v>
      </c>
      <c r="I279" t="s">
        <v>67</v>
      </c>
      <c r="J279">
        <v>100</v>
      </c>
      <c r="K279" t="s">
        <v>67</v>
      </c>
      <c r="L279" t="s">
        <v>16</v>
      </c>
    </row>
    <row r="280" spans="1:12">
      <c r="A280">
        <v>278</v>
      </c>
      <c r="B280">
        <v>2021</v>
      </c>
      <c r="C280" t="s">
        <v>17</v>
      </c>
      <c r="D280" t="s">
        <v>12</v>
      </c>
      <c r="E280" t="s">
        <v>13</v>
      </c>
      <c r="F280">
        <v>180000</v>
      </c>
      <c r="G280" t="s">
        <v>122</v>
      </c>
      <c r="H280">
        <v>20171</v>
      </c>
      <c r="I280" t="s">
        <v>123</v>
      </c>
      <c r="J280">
        <v>50</v>
      </c>
      <c r="K280" t="s">
        <v>123</v>
      </c>
      <c r="L280" t="s">
        <v>16</v>
      </c>
    </row>
    <row r="281" spans="1:12">
      <c r="A281">
        <v>279</v>
      </c>
      <c r="B281">
        <v>2021</v>
      </c>
      <c r="C281" t="s">
        <v>30</v>
      </c>
      <c r="D281" t="s">
        <v>12</v>
      </c>
      <c r="E281" t="s">
        <v>35</v>
      </c>
      <c r="F281">
        <v>50000</v>
      </c>
      <c r="G281" t="s">
        <v>14</v>
      </c>
      <c r="H281">
        <v>59102</v>
      </c>
      <c r="I281" t="s">
        <v>80</v>
      </c>
      <c r="J281">
        <v>100</v>
      </c>
      <c r="K281" t="s">
        <v>80</v>
      </c>
      <c r="L281" t="s">
        <v>16</v>
      </c>
    </row>
    <row r="282" spans="1:12">
      <c r="A282">
        <v>280</v>
      </c>
      <c r="B282">
        <v>2021</v>
      </c>
      <c r="C282" t="s">
        <v>11</v>
      </c>
      <c r="D282" t="s">
        <v>12</v>
      </c>
      <c r="E282" t="s">
        <v>43</v>
      </c>
      <c r="F282">
        <v>112000</v>
      </c>
      <c r="G282" t="s">
        <v>19</v>
      </c>
      <c r="H282">
        <v>112000</v>
      </c>
      <c r="I282" t="s">
        <v>29</v>
      </c>
      <c r="J282">
        <v>100</v>
      </c>
      <c r="K282" t="s">
        <v>29</v>
      </c>
      <c r="L282" t="s">
        <v>16</v>
      </c>
    </row>
    <row r="283" spans="1:12">
      <c r="A283">
        <v>281</v>
      </c>
      <c r="B283">
        <v>2021</v>
      </c>
      <c r="C283" t="s">
        <v>30</v>
      </c>
      <c r="D283" t="s">
        <v>12</v>
      </c>
      <c r="E283" t="s">
        <v>55</v>
      </c>
      <c r="F283">
        <v>100000</v>
      </c>
      <c r="G283" t="s">
        <v>19</v>
      </c>
      <c r="H283">
        <v>100000</v>
      </c>
      <c r="I283" t="s">
        <v>128</v>
      </c>
      <c r="J283">
        <v>0</v>
      </c>
      <c r="K283" t="s">
        <v>49</v>
      </c>
      <c r="L283" t="s">
        <v>16</v>
      </c>
    </row>
    <row r="284" spans="1:12">
      <c r="A284">
        <v>282</v>
      </c>
      <c r="B284">
        <v>2021</v>
      </c>
      <c r="C284" t="s">
        <v>11</v>
      </c>
      <c r="D284" t="s">
        <v>47</v>
      </c>
      <c r="E284" t="s">
        <v>43</v>
      </c>
      <c r="F284">
        <v>59000</v>
      </c>
      <c r="G284" t="s">
        <v>14</v>
      </c>
      <c r="H284">
        <v>69741</v>
      </c>
      <c r="I284" t="s">
        <v>56</v>
      </c>
      <c r="J284">
        <v>100</v>
      </c>
      <c r="K284" t="s">
        <v>56</v>
      </c>
      <c r="L284" t="s">
        <v>16</v>
      </c>
    </row>
    <row r="285" spans="1:12">
      <c r="A285">
        <v>283</v>
      </c>
      <c r="B285">
        <v>2021</v>
      </c>
      <c r="C285" t="s">
        <v>17</v>
      </c>
      <c r="D285" t="s">
        <v>59</v>
      </c>
      <c r="E285" t="s">
        <v>129</v>
      </c>
      <c r="F285">
        <v>105000</v>
      </c>
      <c r="G285" t="s">
        <v>19</v>
      </c>
      <c r="H285">
        <v>105000</v>
      </c>
      <c r="I285" t="s">
        <v>29</v>
      </c>
      <c r="J285">
        <v>100</v>
      </c>
      <c r="K285" t="s">
        <v>29</v>
      </c>
      <c r="L285" t="s">
        <v>25</v>
      </c>
    </row>
    <row r="286" spans="1:12">
      <c r="A286">
        <v>284</v>
      </c>
      <c r="B286">
        <v>2021</v>
      </c>
      <c r="C286" t="s">
        <v>11</v>
      </c>
      <c r="D286" t="s">
        <v>12</v>
      </c>
      <c r="E286" t="s">
        <v>55</v>
      </c>
      <c r="F286">
        <v>69999</v>
      </c>
      <c r="G286" t="s">
        <v>19</v>
      </c>
      <c r="H286">
        <v>69999</v>
      </c>
      <c r="I286" t="s">
        <v>130</v>
      </c>
      <c r="J286">
        <v>50</v>
      </c>
      <c r="K286" t="s">
        <v>130</v>
      </c>
      <c r="L286" t="s">
        <v>16</v>
      </c>
    </row>
    <row r="287" spans="1:12">
      <c r="A287">
        <v>285</v>
      </c>
      <c r="B287">
        <v>2021</v>
      </c>
      <c r="C287" t="s">
        <v>17</v>
      </c>
      <c r="D287" t="s">
        <v>12</v>
      </c>
      <c r="E287" t="s">
        <v>79</v>
      </c>
      <c r="F287">
        <v>7000000</v>
      </c>
      <c r="G287" t="s">
        <v>39</v>
      </c>
      <c r="H287">
        <v>94665</v>
      </c>
      <c r="I287" t="s">
        <v>40</v>
      </c>
      <c r="J287">
        <v>50</v>
      </c>
      <c r="K287" t="s">
        <v>40</v>
      </c>
      <c r="L287" t="s">
        <v>16</v>
      </c>
    </row>
    <row r="288" spans="1:12">
      <c r="A288">
        <v>286</v>
      </c>
      <c r="B288">
        <v>2021</v>
      </c>
      <c r="C288" t="s">
        <v>17</v>
      </c>
      <c r="D288" t="s">
        <v>12</v>
      </c>
      <c r="E288" t="s">
        <v>81</v>
      </c>
      <c r="F288">
        <v>87000</v>
      </c>
      <c r="G288" t="s">
        <v>14</v>
      </c>
      <c r="H288">
        <v>102839</v>
      </c>
      <c r="I288" t="s">
        <v>118</v>
      </c>
      <c r="J288">
        <v>100</v>
      </c>
      <c r="K288" t="s">
        <v>118</v>
      </c>
      <c r="L288" t="s">
        <v>16</v>
      </c>
    </row>
    <row r="289" spans="1:12">
      <c r="A289">
        <v>287</v>
      </c>
      <c r="B289">
        <v>2021</v>
      </c>
      <c r="C289" t="s">
        <v>11</v>
      </c>
      <c r="D289" t="s">
        <v>12</v>
      </c>
      <c r="E289" t="s">
        <v>13</v>
      </c>
      <c r="F289">
        <v>109000</v>
      </c>
      <c r="G289" t="s">
        <v>19</v>
      </c>
      <c r="H289">
        <v>109000</v>
      </c>
      <c r="I289" t="s">
        <v>29</v>
      </c>
      <c r="J289">
        <v>50</v>
      </c>
      <c r="K289" t="s">
        <v>29</v>
      </c>
      <c r="L289" t="s">
        <v>16</v>
      </c>
    </row>
    <row r="290" spans="1:12">
      <c r="A290">
        <v>288</v>
      </c>
      <c r="B290">
        <v>2021</v>
      </c>
      <c r="C290" t="s">
        <v>11</v>
      </c>
      <c r="D290" t="s">
        <v>12</v>
      </c>
      <c r="E290" t="s">
        <v>28</v>
      </c>
      <c r="F290">
        <v>43200</v>
      </c>
      <c r="G290" t="s">
        <v>14</v>
      </c>
      <c r="H290">
        <v>51064</v>
      </c>
      <c r="I290" t="s">
        <v>77</v>
      </c>
      <c r="J290">
        <v>50</v>
      </c>
      <c r="K290" t="s">
        <v>77</v>
      </c>
      <c r="L290" t="s">
        <v>16</v>
      </c>
    </row>
    <row r="291" spans="1:12">
      <c r="A291">
        <v>289</v>
      </c>
      <c r="B291">
        <v>2022</v>
      </c>
      <c r="C291" t="s">
        <v>17</v>
      </c>
      <c r="D291" t="s">
        <v>12</v>
      </c>
      <c r="E291" t="s">
        <v>43</v>
      </c>
      <c r="F291">
        <v>135000</v>
      </c>
      <c r="G291" t="s">
        <v>19</v>
      </c>
      <c r="H291">
        <v>135000</v>
      </c>
      <c r="I291" t="s">
        <v>29</v>
      </c>
      <c r="J291">
        <v>100</v>
      </c>
      <c r="K291" t="s">
        <v>29</v>
      </c>
      <c r="L291" t="s">
        <v>25</v>
      </c>
    </row>
    <row r="292" spans="1:12">
      <c r="A292">
        <v>290</v>
      </c>
      <c r="B292">
        <v>2022</v>
      </c>
      <c r="C292" t="s">
        <v>17</v>
      </c>
      <c r="D292" t="s">
        <v>12</v>
      </c>
      <c r="E292" t="s">
        <v>31</v>
      </c>
      <c r="F292">
        <v>155000</v>
      </c>
      <c r="G292" t="s">
        <v>19</v>
      </c>
      <c r="H292">
        <v>155000</v>
      </c>
      <c r="I292" t="s">
        <v>29</v>
      </c>
      <c r="J292">
        <v>100</v>
      </c>
      <c r="K292" t="s">
        <v>29</v>
      </c>
      <c r="L292" t="s">
        <v>25</v>
      </c>
    </row>
    <row r="293" spans="1:12">
      <c r="A293">
        <v>291</v>
      </c>
      <c r="B293">
        <v>2022</v>
      </c>
      <c r="C293" t="s">
        <v>17</v>
      </c>
      <c r="D293" t="s">
        <v>12</v>
      </c>
      <c r="E293" t="s">
        <v>31</v>
      </c>
      <c r="F293">
        <v>120600</v>
      </c>
      <c r="G293" t="s">
        <v>19</v>
      </c>
      <c r="H293">
        <v>120600</v>
      </c>
      <c r="I293" t="s">
        <v>29</v>
      </c>
      <c r="J293">
        <v>100</v>
      </c>
      <c r="K293" t="s">
        <v>29</v>
      </c>
      <c r="L293" t="s">
        <v>25</v>
      </c>
    </row>
    <row r="294" spans="1:12">
      <c r="A294">
        <v>292</v>
      </c>
      <c r="B294">
        <v>2022</v>
      </c>
      <c r="C294" t="s">
        <v>11</v>
      </c>
      <c r="D294" t="s">
        <v>12</v>
      </c>
      <c r="E294" t="s">
        <v>13</v>
      </c>
      <c r="F294">
        <v>130000</v>
      </c>
      <c r="G294" t="s">
        <v>19</v>
      </c>
      <c r="H294">
        <v>130000</v>
      </c>
      <c r="I294" t="s">
        <v>29</v>
      </c>
      <c r="J294">
        <v>0</v>
      </c>
      <c r="K294" t="s">
        <v>29</v>
      </c>
      <c r="L294" t="s">
        <v>25</v>
      </c>
    </row>
    <row r="295" spans="1:12">
      <c r="A295">
        <v>293</v>
      </c>
      <c r="B295">
        <v>2022</v>
      </c>
      <c r="C295" t="s">
        <v>11</v>
      </c>
      <c r="D295" t="s">
        <v>12</v>
      </c>
      <c r="E295" t="s">
        <v>13</v>
      </c>
      <c r="F295">
        <v>90000</v>
      </c>
      <c r="G295" t="s">
        <v>19</v>
      </c>
      <c r="H295">
        <v>90000</v>
      </c>
      <c r="I295" t="s">
        <v>29</v>
      </c>
      <c r="J295">
        <v>0</v>
      </c>
      <c r="K295" t="s">
        <v>29</v>
      </c>
      <c r="L295" t="s">
        <v>25</v>
      </c>
    </row>
    <row r="296" spans="1:12">
      <c r="A296">
        <v>294</v>
      </c>
      <c r="B296">
        <v>2022</v>
      </c>
      <c r="C296" t="s">
        <v>11</v>
      </c>
      <c r="D296" t="s">
        <v>12</v>
      </c>
      <c r="E296" t="s">
        <v>43</v>
      </c>
      <c r="F296">
        <v>170000</v>
      </c>
      <c r="G296" t="s">
        <v>19</v>
      </c>
      <c r="H296">
        <v>170000</v>
      </c>
      <c r="I296" t="s">
        <v>29</v>
      </c>
      <c r="J296">
        <v>100</v>
      </c>
      <c r="K296" t="s">
        <v>29</v>
      </c>
      <c r="L296" t="s">
        <v>25</v>
      </c>
    </row>
    <row r="297" spans="1:12">
      <c r="A297">
        <v>295</v>
      </c>
      <c r="B297">
        <v>2022</v>
      </c>
      <c r="C297" t="s">
        <v>11</v>
      </c>
      <c r="D297" t="s">
        <v>12</v>
      </c>
      <c r="E297" t="s">
        <v>43</v>
      </c>
      <c r="F297">
        <v>150000</v>
      </c>
      <c r="G297" t="s">
        <v>19</v>
      </c>
      <c r="H297">
        <v>150000</v>
      </c>
      <c r="I297" t="s">
        <v>29</v>
      </c>
      <c r="J297">
        <v>100</v>
      </c>
      <c r="K297" t="s">
        <v>29</v>
      </c>
      <c r="L297" t="s">
        <v>25</v>
      </c>
    </row>
    <row r="298" spans="1:12">
      <c r="A298">
        <v>296</v>
      </c>
      <c r="B298">
        <v>2022</v>
      </c>
      <c r="C298" t="s">
        <v>17</v>
      </c>
      <c r="D298" t="s">
        <v>12</v>
      </c>
      <c r="E298" t="s">
        <v>31</v>
      </c>
      <c r="F298">
        <v>102100</v>
      </c>
      <c r="G298" t="s">
        <v>19</v>
      </c>
      <c r="H298">
        <v>102100</v>
      </c>
      <c r="I298" t="s">
        <v>29</v>
      </c>
      <c r="J298">
        <v>100</v>
      </c>
      <c r="K298" t="s">
        <v>29</v>
      </c>
      <c r="L298" t="s">
        <v>25</v>
      </c>
    </row>
    <row r="299" spans="1:12">
      <c r="A299">
        <v>297</v>
      </c>
      <c r="B299">
        <v>2022</v>
      </c>
      <c r="C299" t="s">
        <v>17</v>
      </c>
      <c r="D299" t="s">
        <v>12</v>
      </c>
      <c r="E299" t="s">
        <v>31</v>
      </c>
      <c r="F299">
        <v>84900</v>
      </c>
      <c r="G299" t="s">
        <v>19</v>
      </c>
      <c r="H299">
        <v>84900</v>
      </c>
      <c r="I299" t="s">
        <v>29</v>
      </c>
      <c r="J299">
        <v>100</v>
      </c>
      <c r="K299" t="s">
        <v>29</v>
      </c>
      <c r="L299" t="s">
        <v>25</v>
      </c>
    </row>
    <row r="300" spans="1:12">
      <c r="A300">
        <v>298</v>
      </c>
      <c r="B300">
        <v>2022</v>
      </c>
      <c r="C300" t="s">
        <v>17</v>
      </c>
      <c r="D300" t="s">
        <v>12</v>
      </c>
      <c r="E300" t="s">
        <v>13</v>
      </c>
      <c r="F300">
        <v>136620</v>
      </c>
      <c r="G300" t="s">
        <v>19</v>
      </c>
      <c r="H300">
        <v>136620</v>
      </c>
      <c r="I300" t="s">
        <v>29</v>
      </c>
      <c r="J300">
        <v>100</v>
      </c>
      <c r="K300" t="s">
        <v>29</v>
      </c>
      <c r="L300" t="s">
        <v>25</v>
      </c>
    </row>
    <row r="301" spans="1:12">
      <c r="A301">
        <v>299</v>
      </c>
      <c r="B301">
        <v>2022</v>
      </c>
      <c r="C301" t="s">
        <v>17</v>
      </c>
      <c r="D301" t="s">
        <v>12</v>
      </c>
      <c r="E301" t="s">
        <v>13</v>
      </c>
      <c r="F301">
        <v>99360</v>
      </c>
      <c r="G301" t="s">
        <v>19</v>
      </c>
      <c r="H301">
        <v>99360</v>
      </c>
      <c r="I301" t="s">
        <v>29</v>
      </c>
      <c r="J301">
        <v>100</v>
      </c>
      <c r="K301" t="s">
        <v>29</v>
      </c>
      <c r="L301" t="s">
        <v>25</v>
      </c>
    </row>
    <row r="302" spans="1:12">
      <c r="A302">
        <v>300</v>
      </c>
      <c r="B302">
        <v>2022</v>
      </c>
      <c r="C302" t="s">
        <v>17</v>
      </c>
      <c r="D302" t="s">
        <v>12</v>
      </c>
      <c r="E302" t="s">
        <v>13</v>
      </c>
      <c r="F302">
        <v>90000</v>
      </c>
      <c r="G302" t="s">
        <v>23</v>
      </c>
      <c r="H302">
        <v>117789</v>
      </c>
      <c r="I302" t="s">
        <v>24</v>
      </c>
      <c r="J302">
        <v>0</v>
      </c>
      <c r="K302" t="s">
        <v>24</v>
      </c>
      <c r="L302" t="s">
        <v>25</v>
      </c>
    </row>
    <row r="303" spans="1:12">
      <c r="A303">
        <v>301</v>
      </c>
      <c r="B303">
        <v>2022</v>
      </c>
      <c r="C303" t="s">
        <v>17</v>
      </c>
      <c r="D303" t="s">
        <v>12</v>
      </c>
      <c r="E303" t="s">
        <v>13</v>
      </c>
      <c r="F303">
        <v>80000</v>
      </c>
      <c r="G303" t="s">
        <v>23</v>
      </c>
      <c r="H303">
        <v>104702</v>
      </c>
      <c r="I303" t="s">
        <v>24</v>
      </c>
      <c r="J303">
        <v>0</v>
      </c>
      <c r="K303" t="s">
        <v>24</v>
      </c>
      <c r="L303" t="s">
        <v>25</v>
      </c>
    </row>
    <row r="304" spans="1:12">
      <c r="A304">
        <v>302</v>
      </c>
      <c r="B304">
        <v>2022</v>
      </c>
      <c r="C304" t="s">
        <v>17</v>
      </c>
      <c r="D304" t="s">
        <v>12</v>
      </c>
      <c r="E304" t="s">
        <v>13</v>
      </c>
      <c r="F304">
        <v>146000</v>
      </c>
      <c r="G304" t="s">
        <v>19</v>
      </c>
      <c r="H304">
        <v>146000</v>
      </c>
      <c r="I304" t="s">
        <v>29</v>
      </c>
      <c r="J304">
        <v>100</v>
      </c>
      <c r="K304" t="s">
        <v>29</v>
      </c>
      <c r="L304" t="s">
        <v>25</v>
      </c>
    </row>
    <row r="305" spans="1:12">
      <c r="A305">
        <v>303</v>
      </c>
      <c r="B305">
        <v>2022</v>
      </c>
      <c r="C305" t="s">
        <v>17</v>
      </c>
      <c r="D305" t="s">
        <v>12</v>
      </c>
      <c r="E305" t="s">
        <v>13</v>
      </c>
      <c r="F305">
        <v>123000</v>
      </c>
      <c r="G305" t="s">
        <v>19</v>
      </c>
      <c r="H305">
        <v>123000</v>
      </c>
      <c r="I305" t="s">
        <v>29</v>
      </c>
      <c r="J305">
        <v>100</v>
      </c>
      <c r="K305" t="s">
        <v>29</v>
      </c>
      <c r="L305" t="s">
        <v>25</v>
      </c>
    </row>
    <row r="306" spans="1:12">
      <c r="A306">
        <v>304</v>
      </c>
      <c r="B306">
        <v>2022</v>
      </c>
      <c r="C306" t="s">
        <v>30</v>
      </c>
      <c r="D306" t="s">
        <v>12</v>
      </c>
      <c r="E306" t="s">
        <v>43</v>
      </c>
      <c r="F306">
        <v>40000</v>
      </c>
      <c r="G306" t="s">
        <v>23</v>
      </c>
      <c r="H306">
        <v>52351</v>
      </c>
      <c r="I306" t="s">
        <v>24</v>
      </c>
      <c r="J306">
        <v>100</v>
      </c>
      <c r="K306" t="s">
        <v>24</v>
      </c>
      <c r="L306" t="s">
        <v>25</v>
      </c>
    </row>
    <row r="307" spans="1:12">
      <c r="A307">
        <v>305</v>
      </c>
      <c r="B307">
        <v>2022</v>
      </c>
      <c r="C307" t="s">
        <v>17</v>
      </c>
      <c r="D307" t="s">
        <v>12</v>
      </c>
      <c r="E307" t="s">
        <v>31</v>
      </c>
      <c r="F307">
        <v>99000</v>
      </c>
      <c r="G307" t="s">
        <v>19</v>
      </c>
      <c r="H307">
        <v>99000</v>
      </c>
      <c r="I307" t="s">
        <v>29</v>
      </c>
      <c r="J307">
        <v>0</v>
      </c>
      <c r="K307" t="s">
        <v>29</v>
      </c>
      <c r="L307" t="s">
        <v>25</v>
      </c>
    </row>
    <row r="308" spans="1:12">
      <c r="A308">
        <v>306</v>
      </c>
      <c r="B308">
        <v>2022</v>
      </c>
      <c r="C308" t="s">
        <v>17</v>
      </c>
      <c r="D308" t="s">
        <v>12</v>
      </c>
      <c r="E308" t="s">
        <v>31</v>
      </c>
      <c r="F308">
        <v>116000</v>
      </c>
      <c r="G308" t="s">
        <v>19</v>
      </c>
      <c r="H308">
        <v>116000</v>
      </c>
      <c r="I308" t="s">
        <v>29</v>
      </c>
      <c r="J308">
        <v>0</v>
      </c>
      <c r="K308" t="s">
        <v>29</v>
      </c>
      <c r="L308" t="s">
        <v>25</v>
      </c>
    </row>
    <row r="309" spans="1:12">
      <c r="A309">
        <v>307</v>
      </c>
      <c r="B309">
        <v>2022</v>
      </c>
      <c r="C309" t="s">
        <v>11</v>
      </c>
      <c r="D309" t="s">
        <v>12</v>
      </c>
      <c r="E309" t="s">
        <v>31</v>
      </c>
      <c r="F309">
        <v>106260</v>
      </c>
      <c r="G309" t="s">
        <v>19</v>
      </c>
      <c r="H309">
        <v>106260</v>
      </c>
      <c r="I309" t="s">
        <v>29</v>
      </c>
      <c r="J309">
        <v>0</v>
      </c>
      <c r="K309" t="s">
        <v>29</v>
      </c>
      <c r="L309" t="s">
        <v>25</v>
      </c>
    </row>
    <row r="310" spans="1:12">
      <c r="A310">
        <v>308</v>
      </c>
      <c r="B310">
        <v>2022</v>
      </c>
      <c r="C310" t="s">
        <v>11</v>
      </c>
      <c r="D310" t="s">
        <v>12</v>
      </c>
      <c r="E310" t="s">
        <v>31</v>
      </c>
      <c r="F310">
        <v>126500</v>
      </c>
      <c r="G310" t="s">
        <v>19</v>
      </c>
      <c r="H310">
        <v>126500</v>
      </c>
      <c r="I310" t="s">
        <v>29</v>
      </c>
      <c r="J310">
        <v>0</v>
      </c>
      <c r="K310" t="s">
        <v>29</v>
      </c>
      <c r="L310" t="s">
        <v>25</v>
      </c>
    </row>
    <row r="311" spans="1:12">
      <c r="A311">
        <v>309</v>
      </c>
      <c r="B311">
        <v>2022</v>
      </c>
      <c r="C311" t="s">
        <v>53</v>
      </c>
      <c r="D311" t="s">
        <v>12</v>
      </c>
      <c r="E311" t="s">
        <v>43</v>
      </c>
      <c r="F311">
        <v>242000</v>
      </c>
      <c r="G311" t="s">
        <v>19</v>
      </c>
      <c r="H311">
        <v>242000</v>
      </c>
      <c r="I311" t="s">
        <v>29</v>
      </c>
      <c r="J311">
        <v>100</v>
      </c>
      <c r="K311" t="s">
        <v>29</v>
      </c>
      <c r="L311" t="s">
        <v>25</v>
      </c>
    </row>
    <row r="312" spans="1:12">
      <c r="A312">
        <v>310</v>
      </c>
      <c r="B312">
        <v>2022</v>
      </c>
      <c r="C312" t="s">
        <v>53</v>
      </c>
      <c r="D312" t="s">
        <v>12</v>
      </c>
      <c r="E312" t="s">
        <v>43</v>
      </c>
      <c r="F312">
        <v>200000</v>
      </c>
      <c r="G312" t="s">
        <v>19</v>
      </c>
      <c r="H312">
        <v>200000</v>
      </c>
      <c r="I312" t="s">
        <v>29</v>
      </c>
      <c r="J312">
        <v>100</v>
      </c>
      <c r="K312" t="s">
        <v>29</v>
      </c>
      <c r="L312" t="s">
        <v>25</v>
      </c>
    </row>
    <row r="313" spans="1:12">
      <c r="A313">
        <v>311</v>
      </c>
      <c r="B313">
        <v>2022</v>
      </c>
      <c r="C313" t="s">
        <v>11</v>
      </c>
      <c r="D313" t="s">
        <v>12</v>
      </c>
      <c r="E313" t="s">
        <v>13</v>
      </c>
      <c r="F313">
        <v>50000</v>
      </c>
      <c r="G313" t="s">
        <v>23</v>
      </c>
      <c r="H313">
        <v>65438</v>
      </c>
      <c r="I313" t="s">
        <v>24</v>
      </c>
      <c r="J313">
        <v>0</v>
      </c>
      <c r="K313" t="s">
        <v>24</v>
      </c>
      <c r="L313" t="s">
        <v>25</v>
      </c>
    </row>
    <row r="314" spans="1:12">
      <c r="A314">
        <v>312</v>
      </c>
      <c r="B314">
        <v>2022</v>
      </c>
      <c r="C314" t="s">
        <v>11</v>
      </c>
      <c r="D314" t="s">
        <v>12</v>
      </c>
      <c r="E314" t="s">
        <v>13</v>
      </c>
      <c r="F314">
        <v>30000</v>
      </c>
      <c r="G314" t="s">
        <v>23</v>
      </c>
      <c r="H314">
        <v>39263</v>
      </c>
      <c r="I314" t="s">
        <v>24</v>
      </c>
      <c r="J314">
        <v>0</v>
      </c>
      <c r="K314" t="s">
        <v>24</v>
      </c>
      <c r="L314" t="s">
        <v>25</v>
      </c>
    </row>
    <row r="315" spans="1:12">
      <c r="A315">
        <v>313</v>
      </c>
      <c r="B315">
        <v>2022</v>
      </c>
      <c r="C315" t="s">
        <v>11</v>
      </c>
      <c r="D315" t="s">
        <v>12</v>
      </c>
      <c r="E315" t="s">
        <v>43</v>
      </c>
      <c r="F315">
        <v>60000</v>
      </c>
      <c r="G315" t="s">
        <v>23</v>
      </c>
      <c r="H315">
        <v>78526</v>
      </c>
      <c r="I315" t="s">
        <v>24</v>
      </c>
      <c r="J315">
        <v>0</v>
      </c>
      <c r="K315" t="s">
        <v>24</v>
      </c>
      <c r="L315" t="s">
        <v>25</v>
      </c>
    </row>
    <row r="316" spans="1:12">
      <c r="A316">
        <v>314</v>
      </c>
      <c r="B316">
        <v>2022</v>
      </c>
      <c r="C316" t="s">
        <v>11</v>
      </c>
      <c r="D316" t="s">
        <v>12</v>
      </c>
      <c r="E316" t="s">
        <v>43</v>
      </c>
      <c r="F316">
        <v>40000</v>
      </c>
      <c r="G316" t="s">
        <v>23</v>
      </c>
      <c r="H316">
        <v>52351</v>
      </c>
      <c r="I316" t="s">
        <v>24</v>
      </c>
      <c r="J316">
        <v>0</v>
      </c>
      <c r="K316" t="s">
        <v>24</v>
      </c>
      <c r="L316" t="s">
        <v>25</v>
      </c>
    </row>
    <row r="317" spans="1:12">
      <c r="A317">
        <v>315</v>
      </c>
      <c r="B317">
        <v>2022</v>
      </c>
      <c r="C317" t="s">
        <v>17</v>
      </c>
      <c r="D317" t="s">
        <v>12</v>
      </c>
      <c r="E317" t="s">
        <v>13</v>
      </c>
      <c r="F317">
        <v>165220</v>
      </c>
      <c r="G317" t="s">
        <v>19</v>
      </c>
      <c r="H317">
        <v>165220</v>
      </c>
      <c r="I317" t="s">
        <v>29</v>
      </c>
      <c r="J317">
        <v>100</v>
      </c>
      <c r="K317" t="s">
        <v>29</v>
      </c>
      <c r="L317" t="s">
        <v>25</v>
      </c>
    </row>
    <row r="318" spans="1:12">
      <c r="A318">
        <v>316</v>
      </c>
      <c r="B318">
        <v>2022</v>
      </c>
      <c r="C318" t="s">
        <v>30</v>
      </c>
      <c r="D318" t="s">
        <v>12</v>
      </c>
      <c r="E318" t="s">
        <v>43</v>
      </c>
      <c r="F318">
        <v>35000</v>
      </c>
      <c r="G318" t="s">
        <v>23</v>
      </c>
      <c r="H318">
        <v>45807</v>
      </c>
      <c r="I318" t="s">
        <v>24</v>
      </c>
      <c r="J318">
        <v>100</v>
      </c>
      <c r="K318" t="s">
        <v>24</v>
      </c>
      <c r="L318" t="s">
        <v>25</v>
      </c>
    </row>
    <row r="319" spans="1:12">
      <c r="A319">
        <v>317</v>
      </c>
      <c r="B319">
        <v>2022</v>
      </c>
      <c r="C319" t="s">
        <v>17</v>
      </c>
      <c r="D319" t="s">
        <v>12</v>
      </c>
      <c r="E319" t="s">
        <v>13</v>
      </c>
      <c r="F319">
        <v>120160</v>
      </c>
      <c r="G319" t="s">
        <v>19</v>
      </c>
      <c r="H319">
        <v>120160</v>
      </c>
      <c r="I319" t="s">
        <v>29</v>
      </c>
      <c r="J319">
        <v>100</v>
      </c>
      <c r="K319" t="s">
        <v>29</v>
      </c>
      <c r="L319" t="s">
        <v>25</v>
      </c>
    </row>
    <row r="320" spans="1:12">
      <c r="A320">
        <v>318</v>
      </c>
      <c r="B320">
        <v>2022</v>
      </c>
      <c r="C320" t="s">
        <v>17</v>
      </c>
      <c r="D320" t="s">
        <v>12</v>
      </c>
      <c r="E320" t="s">
        <v>31</v>
      </c>
      <c r="F320">
        <v>90320</v>
      </c>
      <c r="G320" t="s">
        <v>19</v>
      </c>
      <c r="H320">
        <v>90320</v>
      </c>
      <c r="I320" t="s">
        <v>29</v>
      </c>
      <c r="J320">
        <v>100</v>
      </c>
      <c r="K320" t="s">
        <v>29</v>
      </c>
      <c r="L320" t="s">
        <v>25</v>
      </c>
    </row>
    <row r="321" spans="1:12">
      <c r="A321">
        <v>319</v>
      </c>
      <c r="B321">
        <v>2022</v>
      </c>
      <c r="C321" t="s">
        <v>17</v>
      </c>
      <c r="D321" t="s">
        <v>12</v>
      </c>
      <c r="E321" t="s">
        <v>43</v>
      </c>
      <c r="F321">
        <v>181940</v>
      </c>
      <c r="G321" t="s">
        <v>19</v>
      </c>
      <c r="H321">
        <v>181940</v>
      </c>
      <c r="I321" t="s">
        <v>29</v>
      </c>
      <c r="J321">
        <v>0</v>
      </c>
      <c r="K321" t="s">
        <v>29</v>
      </c>
      <c r="L321" t="s">
        <v>25</v>
      </c>
    </row>
    <row r="322" spans="1:12">
      <c r="A322">
        <v>320</v>
      </c>
      <c r="B322">
        <v>2022</v>
      </c>
      <c r="C322" t="s">
        <v>17</v>
      </c>
      <c r="D322" t="s">
        <v>12</v>
      </c>
      <c r="E322" t="s">
        <v>43</v>
      </c>
      <c r="F322">
        <v>132320</v>
      </c>
      <c r="G322" t="s">
        <v>19</v>
      </c>
      <c r="H322">
        <v>132320</v>
      </c>
      <c r="I322" t="s">
        <v>29</v>
      </c>
      <c r="J322">
        <v>0</v>
      </c>
      <c r="K322" t="s">
        <v>29</v>
      </c>
      <c r="L322" t="s">
        <v>25</v>
      </c>
    </row>
    <row r="323" spans="1:12">
      <c r="A323">
        <v>321</v>
      </c>
      <c r="B323">
        <v>2022</v>
      </c>
      <c r="C323" t="s">
        <v>17</v>
      </c>
      <c r="D323" t="s">
        <v>12</v>
      </c>
      <c r="E323" t="s">
        <v>43</v>
      </c>
      <c r="F323">
        <v>220110</v>
      </c>
      <c r="G323" t="s">
        <v>19</v>
      </c>
      <c r="H323">
        <v>220110</v>
      </c>
      <c r="I323" t="s">
        <v>29</v>
      </c>
      <c r="J323">
        <v>0</v>
      </c>
      <c r="K323" t="s">
        <v>29</v>
      </c>
      <c r="L323" t="s">
        <v>25</v>
      </c>
    </row>
    <row r="324" spans="1:12">
      <c r="A324">
        <v>322</v>
      </c>
      <c r="B324">
        <v>2022</v>
      </c>
      <c r="C324" t="s">
        <v>17</v>
      </c>
      <c r="D324" t="s">
        <v>12</v>
      </c>
      <c r="E324" t="s">
        <v>43</v>
      </c>
      <c r="F324">
        <v>160080</v>
      </c>
      <c r="G324" t="s">
        <v>19</v>
      </c>
      <c r="H324">
        <v>160080</v>
      </c>
      <c r="I324" t="s">
        <v>29</v>
      </c>
      <c r="J324">
        <v>0</v>
      </c>
      <c r="K324" t="s">
        <v>29</v>
      </c>
      <c r="L324" t="s">
        <v>25</v>
      </c>
    </row>
    <row r="325" spans="1:12">
      <c r="A325">
        <v>323</v>
      </c>
      <c r="B325">
        <v>2022</v>
      </c>
      <c r="C325" t="s">
        <v>17</v>
      </c>
      <c r="D325" t="s">
        <v>12</v>
      </c>
      <c r="E325" t="s">
        <v>13</v>
      </c>
      <c r="F325">
        <v>180000</v>
      </c>
      <c r="G325" t="s">
        <v>19</v>
      </c>
      <c r="H325">
        <v>180000</v>
      </c>
      <c r="I325" t="s">
        <v>29</v>
      </c>
      <c r="J325">
        <v>0</v>
      </c>
      <c r="K325" t="s">
        <v>29</v>
      </c>
      <c r="L325" t="s">
        <v>16</v>
      </c>
    </row>
    <row r="326" spans="1:12">
      <c r="A326">
        <v>324</v>
      </c>
      <c r="B326">
        <v>2022</v>
      </c>
      <c r="C326" t="s">
        <v>17</v>
      </c>
      <c r="D326" t="s">
        <v>12</v>
      </c>
      <c r="E326" t="s">
        <v>13</v>
      </c>
      <c r="F326">
        <v>120000</v>
      </c>
      <c r="G326" t="s">
        <v>19</v>
      </c>
      <c r="H326">
        <v>120000</v>
      </c>
      <c r="I326" t="s">
        <v>29</v>
      </c>
      <c r="J326">
        <v>0</v>
      </c>
      <c r="K326" t="s">
        <v>29</v>
      </c>
      <c r="L326" t="s">
        <v>16</v>
      </c>
    </row>
    <row r="327" spans="1:12">
      <c r="A327">
        <v>325</v>
      </c>
      <c r="B327">
        <v>2022</v>
      </c>
      <c r="C327" t="s">
        <v>17</v>
      </c>
      <c r="D327" t="s">
        <v>12</v>
      </c>
      <c r="E327" t="s">
        <v>31</v>
      </c>
      <c r="F327">
        <v>124190</v>
      </c>
      <c r="G327" t="s">
        <v>19</v>
      </c>
      <c r="H327">
        <v>124190</v>
      </c>
      <c r="I327" t="s">
        <v>29</v>
      </c>
      <c r="J327">
        <v>100</v>
      </c>
      <c r="K327" t="s">
        <v>29</v>
      </c>
      <c r="L327" t="s">
        <v>25</v>
      </c>
    </row>
    <row r="328" spans="1:12">
      <c r="A328">
        <v>326</v>
      </c>
      <c r="B328">
        <v>2022</v>
      </c>
      <c r="C328" t="s">
        <v>53</v>
      </c>
      <c r="D328" t="s">
        <v>12</v>
      </c>
      <c r="E328" t="s">
        <v>31</v>
      </c>
      <c r="F328">
        <v>130000</v>
      </c>
      <c r="G328" t="s">
        <v>19</v>
      </c>
      <c r="H328">
        <v>130000</v>
      </c>
      <c r="I328" t="s">
        <v>29</v>
      </c>
      <c r="J328">
        <v>100</v>
      </c>
      <c r="K328" t="s">
        <v>29</v>
      </c>
      <c r="L328" t="s">
        <v>25</v>
      </c>
    </row>
    <row r="329" spans="1:12">
      <c r="A329">
        <v>327</v>
      </c>
      <c r="B329">
        <v>2022</v>
      </c>
      <c r="C329" t="s">
        <v>53</v>
      </c>
      <c r="D329" t="s">
        <v>12</v>
      </c>
      <c r="E329" t="s">
        <v>31</v>
      </c>
      <c r="F329">
        <v>110000</v>
      </c>
      <c r="G329" t="s">
        <v>19</v>
      </c>
      <c r="H329">
        <v>110000</v>
      </c>
      <c r="I329" t="s">
        <v>29</v>
      </c>
      <c r="J329">
        <v>100</v>
      </c>
      <c r="K329" t="s">
        <v>29</v>
      </c>
      <c r="L329" t="s">
        <v>25</v>
      </c>
    </row>
    <row r="330" spans="1:12">
      <c r="A330">
        <v>328</v>
      </c>
      <c r="B330">
        <v>2022</v>
      </c>
      <c r="C330" t="s">
        <v>17</v>
      </c>
      <c r="D330" t="s">
        <v>12</v>
      </c>
      <c r="E330" t="s">
        <v>31</v>
      </c>
      <c r="F330">
        <v>170000</v>
      </c>
      <c r="G330" t="s">
        <v>19</v>
      </c>
      <c r="H330">
        <v>170000</v>
      </c>
      <c r="I330" t="s">
        <v>29</v>
      </c>
      <c r="J330">
        <v>100</v>
      </c>
      <c r="K330" t="s">
        <v>29</v>
      </c>
      <c r="L330" t="s">
        <v>25</v>
      </c>
    </row>
    <row r="331" spans="1:12">
      <c r="A331">
        <v>329</v>
      </c>
      <c r="B331">
        <v>2022</v>
      </c>
      <c r="C331" t="s">
        <v>11</v>
      </c>
      <c r="D331" t="s">
        <v>12</v>
      </c>
      <c r="E331" t="s">
        <v>31</v>
      </c>
      <c r="F331">
        <v>115500</v>
      </c>
      <c r="G331" t="s">
        <v>19</v>
      </c>
      <c r="H331">
        <v>115500</v>
      </c>
      <c r="I331" t="s">
        <v>29</v>
      </c>
      <c r="J331">
        <v>100</v>
      </c>
      <c r="K331" t="s">
        <v>29</v>
      </c>
      <c r="L331" t="s">
        <v>25</v>
      </c>
    </row>
    <row r="332" spans="1:12">
      <c r="A332">
        <v>330</v>
      </c>
      <c r="B332">
        <v>2022</v>
      </c>
      <c r="C332" t="s">
        <v>17</v>
      </c>
      <c r="D332" t="s">
        <v>12</v>
      </c>
      <c r="E332" t="s">
        <v>31</v>
      </c>
      <c r="F332">
        <v>112900</v>
      </c>
      <c r="G332" t="s">
        <v>19</v>
      </c>
      <c r="H332">
        <v>112900</v>
      </c>
      <c r="I332" t="s">
        <v>29</v>
      </c>
      <c r="J332">
        <v>100</v>
      </c>
      <c r="K332" t="s">
        <v>29</v>
      </c>
      <c r="L332" t="s">
        <v>25</v>
      </c>
    </row>
    <row r="333" spans="1:12">
      <c r="A333">
        <v>331</v>
      </c>
      <c r="B333">
        <v>2022</v>
      </c>
      <c r="C333" t="s">
        <v>17</v>
      </c>
      <c r="D333" t="s">
        <v>12</v>
      </c>
      <c r="E333" t="s">
        <v>31</v>
      </c>
      <c r="F333">
        <v>90320</v>
      </c>
      <c r="G333" t="s">
        <v>19</v>
      </c>
      <c r="H333">
        <v>90320</v>
      </c>
      <c r="I333" t="s">
        <v>29</v>
      </c>
      <c r="J333">
        <v>100</v>
      </c>
      <c r="K333" t="s">
        <v>29</v>
      </c>
      <c r="L333" t="s">
        <v>25</v>
      </c>
    </row>
    <row r="334" spans="1:12">
      <c r="A334">
        <v>332</v>
      </c>
      <c r="B334">
        <v>2022</v>
      </c>
      <c r="C334" t="s">
        <v>17</v>
      </c>
      <c r="D334" t="s">
        <v>12</v>
      </c>
      <c r="E334" t="s">
        <v>31</v>
      </c>
      <c r="F334">
        <v>112900</v>
      </c>
      <c r="G334" t="s">
        <v>19</v>
      </c>
      <c r="H334">
        <v>112900</v>
      </c>
      <c r="I334" t="s">
        <v>29</v>
      </c>
      <c r="J334">
        <v>100</v>
      </c>
      <c r="K334" t="s">
        <v>29</v>
      </c>
      <c r="L334" t="s">
        <v>25</v>
      </c>
    </row>
    <row r="335" spans="1:12">
      <c r="A335">
        <v>333</v>
      </c>
      <c r="B335">
        <v>2022</v>
      </c>
      <c r="C335" t="s">
        <v>17</v>
      </c>
      <c r="D335" t="s">
        <v>12</v>
      </c>
      <c r="E335" t="s">
        <v>31</v>
      </c>
      <c r="F335">
        <v>90320</v>
      </c>
      <c r="G335" t="s">
        <v>19</v>
      </c>
      <c r="H335">
        <v>90320</v>
      </c>
      <c r="I335" t="s">
        <v>29</v>
      </c>
      <c r="J335">
        <v>100</v>
      </c>
      <c r="K335" t="s">
        <v>29</v>
      </c>
      <c r="L335" t="s">
        <v>25</v>
      </c>
    </row>
    <row r="336" spans="1:12">
      <c r="A336">
        <v>334</v>
      </c>
      <c r="B336">
        <v>2022</v>
      </c>
      <c r="C336" t="s">
        <v>17</v>
      </c>
      <c r="D336" t="s">
        <v>12</v>
      </c>
      <c r="E336" t="s">
        <v>43</v>
      </c>
      <c r="F336">
        <v>165400</v>
      </c>
      <c r="G336" t="s">
        <v>19</v>
      </c>
      <c r="H336">
        <v>165400</v>
      </c>
      <c r="I336" t="s">
        <v>29</v>
      </c>
      <c r="J336">
        <v>100</v>
      </c>
      <c r="K336" t="s">
        <v>29</v>
      </c>
      <c r="L336" t="s">
        <v>25</v>
      </c>
    </row>
    <row r="337" spans="1:12">
      <c r="A337">
        <v>335</v>
      </c>
      <c r="B337">
        <v>2022</v>
      </c>
      <c r="C337" t="s">
        <v>17</v>
      </c>
      <c r="D337" t="s">
        <v>12</v>
      </c>
      <c r="E337" t="s">
        <v>43</v>
      </c>
      <c r="F337">
        <v>132320</v>
      </c>
      <c r="G337" t="s">
        <v>19</v>
      </c>
      <c r="H337">
        <v>132320</v>
      </c>
      <c r="I337" t="s">
        <v>29</v>
      </c>
      <c r="J337">
        <v>100</v>
      </c>
      <c r="K337" t="s">
        <v>29</v>
      </c>
      <c r="L337" t="s">
        <v>25</v>
      </c>
    </row>
    <row r="338" spans="1:12">
      <c r="A338">
        <v>336</v>
      </c>
      <c r="B338">
        <v>2022</v>
      </c>
      <c r="C338" t="s">
        <v>11</v>
      </c>
      <c r="D338" t="s">
        <v>12</v>
      </c>
      <c r="E338" t="s">
        <v>31</v>
      </c>
      <c r="F338">
        <v>167000</v>
      </c>
      <c r="G338" t="s">
        <v>19</v>
      </c>
      <c r="H338">
        <v>167000</v>
      </c>
      <c r="I338" t="s">
        <v>29</v>
      </c>
      <c r="J338">
        <v>100</v>
      </c>
      <c r="K338" t="s">
        <v>29</v>
      </c>
      <c r="L338" t="s">
        <v>25</v>
      </c>
    </row>
    <row r="339" spans="1:12">
      <c r="A339">
        <v>337</v>
      </c>
      <c r="B339">
        <v>2022</v>
      </c>
      <c r="C339" t="s">
        <v>17</v>
      </c>
      <c r="D339" t="s">
        <v>12</v>
      </c>
      <c r="E339" t="s">
        <v>43</v>
      </c>
      <c r="F339">
        <v>243900</v>
      </c>
      <c r="G339" t="s">
        <v>19</v>
      </c>
      <c r="H339">
        <v>243900</v>
      </c>
      <c r="I339" t="s">
        <v>29</v>
      </c>
      <c r="J339">
        <v>100</v>
      </c>
      <c r="K339" t="s">
        <v>29</v>
      </c>
      <c r="L339" t="s">
        <v>25</v>
      </c>
    </row>
    <row r="340" spans="1:12">
      <c r="A340">
        <v>338</v>
      </c>
      <c r="B340">
        <v>2022</v>
      </c>
      <c r="C340" t="s">
        <v>17</v>
      </c>
      <c r="D340" t="s">
        <v>12</v>
      </c>
      <c r="E340" t="s">
        <v>31</v>
      </c>
      <c r="F340">
        <v>136600</v>
      </c>
      <c r="G340" t="s">
        <v>19</v>
      </c>
      <c r="H340">
        <v>136600</v>
      </c>
      <c r="I340" t="s">
        <v>29</v>
      </c>
      <c r="J340">
        <v>100</v>
      </c>
      <c r="K340" t="s">
        <v>29</v>
      </c>
      <c r="L340" t="s">
        <v>25</v>
      </c>
    </row>
    <row r="341" spans="1:12">
      <c r="A341">
        <v>339</v>
      </c>
      <c r="B341">
        <v>2022</v>
      </c>
      <c r="C341" t="s">
        <v>17</v>
      </c>
      <c r="D341" t="s">
        <v>12</v>
      </c>
      <c r="E341" t="s">
        <v>31</v>
      </c>
      <c r="F341">
        <v>109280</v>
      </c>
      <c r="G341" t="s">
        <v>19</v>
      </c>
      <c r="H341">
        <v>109280</v>
      </c>
      <c r="I341" t="s">
        <v>29</v>
      </c>
      <c r="J341">
        <v>100</v>
      </c>
      <c r="K341" t="s">
        <v>29</v>
      </c>
      <c r="L341" t="s">
        <v>25</v>
      </c>
    </row>
    <row r="342" spans="1:12">
      <c r="A342">
        <v>340</v>
      </c>
      <c r="B342">
        <v>2022</v>
      </c>
      <c r="C342" t="s">
        <v>17</v>
      </c>
      <c r="D342" t="s">
        <v>12</v>
      </c>
      <c r="E342" t="s">
        <v>43</v>
      </c>
      <c r="F342">
        <v>128875</v>
      </c>
      <c r="G342" t="s">
        <v>19</v>
      </c>
      <c r="H342">
        <v>128875</v>
      </c>
      <c r="I342" t="s">
        <v>29</v>
      </c>
      <c r="J342">
        <v>100</v>
      </c>
      <c r="K342" t="s">
        <v>29</v>
      </c>
      <c r="L342" t="s">
        <v>25</v>
      </c>
    </row>
    <row r="343" spans="1:12">
      <c r="A343">
        <v>341</v>
      </c>
      <c r="B343">
        <v>2022</v>
      </c>
      <c r="C343" t="s">
        <v>17</v>
      </c>
      <c r="D343" t="s">
        <v>12</v>
      </c>
      <c r="E343" t="s">
        <v>43</v>
      </c>
      <c r="F343">
        <v>93700</v>
      </c>
      <c r="G343" t="s">
        <v>19</v>
      </c>
      <c r="H343">
        <v>93700</v>
      </c>
      <c r="I343" t="s">
        <v>29</v>
      </c>
      <c r="J343">
        <v>100</v>
      </c>
      <c r="K343" t="s">
        <v>29</v>
      </c>
      <c r="L343" t="s">
        <v>25</v>
      </c>
    </row>
    <row r="344" spans="1:12">
      <c r="A344">
        <v>342</v>
      </c>
      <c r="B344">
        <v>2022</v>
      </c>
      <c r="C344" t="s">
        <v>53</v>
      </c>
      <c r="D344" t="s">
        <v>12</v>
      </c>
      <c r="E344" t="s">
        <v>106</v>
      </c>
      <c r="F344">
        <v>224000</v>
      </c>
      <c r="G344" t="s">
        <v>19</v>
      </c>
      <c r="H344">
        <v>224000</v>
      </c>
      <c r="I344" t="s">
        <v>29</v>
      </c>
      <c r="J344">
        <v>100</v>
      </c>
      <c r="K344" t="s">
        <v>29</v>
      </c>
      <c r="L344" t="s">
        <v>25</v>
      </c>
    </row>
    <row r="345" spans="1:12">
      <c r="A345">
        <v>343</v>
      </c>
      <c r="B345">
        <v>2022</v>
      </c>
      <c r="C345" t="s">
        <v>53</v>
      </c>
      <c r="D345" t="s">
        <v>12</v>
      </c>
      <c r="E345" t="s">
        <v>106</v>
      </c>
      <c r="F345">
        <v>167875</v>
      </c>
      <c r="G345" t="s">
        <v>19</v>
      </c>
      <c r="H345">
        <v>167875</v>
      </c>
      <c r="I345" t="s">
        <v>29</v>
      </c>
      <c r="J345">
        <v>100</v>
      </c>
      <c r="K345" t="s">
        <v>29</v>
      </c>
      <c r="L345" t="s">
        <v>25</v>
      </c>
    </row>
    <row r="346" spans="1:12">
      <c r="A346">
        <v>344</v>
      </c>
      <c r="B346">
        <v>2022</v>
      </c>
      <c r="C346" t="s">
        <v>53</v>
      </c>
      <c r="D346" t="s">
        <v>12</v>
      </c>
      <c r="E346" t="s">
        <v>131</v>
      </c>
      <c r="F346">
        <v>175000</v>
      </c>
      <c r="G346" t="s">
        <v>19</v>
      </c>
      <c r="H346">
        <v>175000</v>
      </c>
      <c r="I346" t="s">
        <v>29</v>
      </c>
      <c r="J346">
        <v>100</v>
      </c>
      <c r="K346" t="s">
        <v>29</v>
      </c>
      <c r="L346" t="s">
        <v>25</v>
      </c>
    </row>
    <row r="347" spans="1:12">
      <c r="A347">
        <v>345</v>
      </c>
      <c r="B347">
        <v>2022</v>
      </c>
      <c r="C347" t="s">
        <v>17</v>
      </c>
      <c r="D347" t="s">
        <v>12</v>
      </c>
      <c r="E347" t="s">
        <v>43</v>
      </c>
      <c r="F347">
        <v>156600</v>
      </c>
      <c r="G347" t="s">
        <v>19</v>
      </c>
      <c r="H347">
        <v>156600</v>
      </c>
      <c r="I347" t="s">
        <v>29</v>
      </c>
      <c r="J347">
        <v>100</v>
      </c>
      <c r="K347" t="s">
        <v>29</v>
      </c>
      <c r="L347" t="s">
        <v>25</v>
      </c>
    </row>
    <row r="348" spans="1:12">
      <c r="A348">
        <v>346</v>
      </c>
      <c r="B348">
        <v>2022</v>
      </c>
      <c r="C348" t="s">
        <v>17</v>
      </c>
      <c r="D348" t="s">
        <v>12</v>
      </c>
      <c r="E348" t="s">
        <v>43</v>
      </c>
      <c r="F348">
        <v>108800</v>
      </c>
      <c r="G348" t="s">
        <v>19</v>
      </c>
      <c r="H348">
        <v>108800</v>
      </c>
      <c r="I348" t="s">
        <v>29</v>
      </c>
      <c r="J348">
        <v>0</v>
      </c>
      <c r="K348" t="s">
        <v>29</v>
      </c>
      <c r="L348" t="s">
        <v>25</v>
      </c>
    </row>
    <row r="349" spans="1:12">
      <c r="A349">
        <v>347</v>
      </c>
      <c r="B349">
        <v>2022</v>
      </c>
      <c r="C349" t="s">
        <v>17</v>
      </c>
      <c r="D349" t="s">
        <v>12</v>
      </c>
      <c r="E349" t="s">
        <v>13</v>
      </c>
      <c r="F349">
        <v>95550</v>
      </c>
      <c r="G349" t="s">
        <v>19</v>
      </c>
      <c r="H349">
        <v>95550</v>
      </c>
      <c r="I349" t="s">
        <v>29</v>
      </c>
      <c r="J349">
        <v>0</v>
      </c>
      <c r="K349" t="s">
        <v>29</v>
      </c>
      <c r="L349" t="s">
        <v>25</v>
      </c>
    </row>
    <row r="350" spans="1:12">
      <c r="A350">
        <v>348</v>
      </c>
      <c r="B350">
        <v>2022</v>
      </c>
      <c r="C350" t="s">
        <v>17</v>
      </c>
      <c r="D350" t="s">
        <v>12</v>
      </c>
      <c r="E350" t="s">
        <v>43</v>
      </c>
      <c r="F350">
        <v>113000</v>
      </c>
      <c r="G350" t="s">
        <v>19</v>
      </c>
      <c r="H350">
        <v>113000</v>
      </c>
      <c r="I350" t="s">
        <v>29</v>
      </c>
      <c r="J350">
        <v>0</v>
      </c>
      <c r="K350" t="s">
        <v>29</v>
      </c>
      <c r="L350" t="s">
        <v>16</v>
      </c>
    </row>
    <row r="351" spans="1:12">
      <c r="A351">
        <v>349</v>
      </c>
      <c r="B351">
        <v>2022</v>
      </c>
      <c r="C351" t="s">
        <v>17</v>
      </c>
      <c r="D351" t="s">
        <v>12</v>
      </c>
      <c r="E351" t="s">
        <v>31</v>
      </c>
      <c r="F351">
        <v>135000</v>
      </c>
      <c r="G351" t="s">
        <v>19</v>
      </c>
      <c r="H351">
        <v>135000</v>
      </c>
      <c r="I351" t="s">
        <v>29</v>
      </c>
      <c r="J351">
        <v>100</v>
      </c>
      <c r="K351" t="s">
        <v>29</v>
      </c>
      <c r="L351" t="s">
        <v>25</v>
      </c>
    </row>
    <row r="352" spans="1:12">
      <c r="A352">
        <v>350</v>
      </c>
      <c r="B352">
        <v>2022</v>
      </c>
      <c r="C352" t="s">
        <v>17</v>
      </c>
      <c r="D352" t="s">
        <v>12</v>
      </c>
      <c r="E352" t="s">
        <v>79</v>
      </c>
      <c r="F352">
        <v>161342</v>
      </c>
      <c r="G352" t="s">
        <v>19</v>
      </c>
      <c r="H352">
        <v>161342</v>
      </c>
      <c r="I352" t="s">
        <v>29</v>
      </c>
      <c r="J352">
        <v>100</v>
      </c>
      <c r="K352" t="s">
        <v>29</v>
      </c>
      <c r="L352" t="s">
        <v>25</v>
      </c>
    </row>
    <row r="353" spans="1:12">
      <c r="A353">
        <v>351</v>
      </c>
      <c r="B353">
        <v>2022</v>
      </c>
      <c r="C353" t="s">
        <v>17</v>
      </c>
      <c r="D353" t="s">
        <v>12</v>
      </c>
      <c r="E353" t="s">
        <v>79</v>
      </c>
      <c r="F353">
        <v>137141</v>
      </c>
      <c r="G353" t="s">
        <v>19</v>
      </c>
      <c r="H353">
        <v>137141</v>
      </c>
      <c r="I353" t="s">
        <v>29</v>
      </c>
      <c r="J353">
        <v>100</v>
      </c>
      <c r="K353" t="s">
        <v>29</v>
      </c>
      <c r="L353" t="s">
        <v>25</v>
      </c>
    </row>
    <row r="354" spans="1:12">
      <c r="A354">
        <v>352</v>
      </c>
      <c r="B354">
        <v>2022</v>
      </c>
      <c r="C354" t="s">
        <v>17</v>
      </c>
      <c r="D354" t="s">
        <v>12</v>
      </c>
      <c r="E354" t="s">
        <v>13</v>
      </c>
      <c r="F354">
        <v>167000</v>
      </c>
      <c r="G354" t="s">
        <v>19</v>
      </c>
      <c r="H354">
        <v>167000</v>
      </c>
      <c r="I354" t="s">
        <v>29</v>
      </c>
      <c r="J354">
        <v>100</v>
      </c>
      <c r="K354" t="s">
        <v>29</v>
      </c>
      <c r="L354" t="s">
        <v>25</v>
      </c>
    </row>
    <row r="355" spans="1:12">
      <c r="A355">
        <v>353</v>
      </c>
      <c r="B355">
        <v>2022</v>
      </c>
      <c r="C355" t="s">
        <v>17</v>
      </c>
      <c r="D355" t="s">
        <v>12</v>
      </c>
      <c r="E355" t="s">
        <v>13</v>
      </c>
      <c r="F355">
        <v>123000</v>
      </c>
      <c r="G355" t="s">
        <v>19</v>
      </c>
      <c r="H355">
        <v>123000</v>
      </c>
      <c r="I355" t="s">
        <v>29</v>
      </c>
      <c r="J355">
        <v>100</v>
      </c>
      <c r="K355" t="s">
        <v>29</v>
      </c>
      <c r="L355" t="s">
        <v>25</v>
      </c>
    </row>
    <row r="356" spans="1:12">
      <c r="A356">
        <v>354</v>
      </c>
      <c r="B356">
        <v>2022</v>
      </c>
      <c r="C356" t="s">
        <v>17</v>
      </c>
      <c r="D356" t="s">
        <v>12</v>
      </c>
      <c r="E356" t="s">
        <v>43</v>
      </c>
      <c r="F356">
        <v>60000</v>
      </c>
      <c r="G356" t="s">
        <v>23</v>
      </c>
      <c r="H356">
        <v>78526</v>
      </c>
      <c r="I356" t="s">
        <v>24</v>
      </c>
      <c r="J356">
        <v>0</v>
      </c>
      <c r="K356" t="s">
        <v>24</v>
      </c>
      <c r="L356" t="s">
        <v>25</v>
      </c>
    </row>
    <row r="357" spans="1:12">
      <c r="A357">
        <v>355</v>
      </c>
      <c r="B357">
        <v>2022</v>
      </c>
      <c r="C357" t="s">
        <v>17</v>
      </c>
      <c r="D357" t="s">
        <v>12</v>
      </c>
      <c r="E357" t="s">
        <v>43</v>
      </c>
      <c r="F357">
        <v>50000</v>
      </c>
      <c r="G357" t="s">
        <v>23</v>
      </c>
      <c r="H357">
        <v>65438</v>
      </c>
      <c r="I357" t="s">
        <v>24</v>
      </c>
      <c r="J357">
        <v>0</v>
      </c>
      <c r="K357" t="s">
        <v>24</v>
      </c>
      <c r="L357" t="s">
        <v>25</v>
      </c>
    </row>
    <row r="358" spans="1:12">
      <c r="A358">
        <v>356</v>
      </c>
      <c r="B358">
        <v>2022</v>
      </c>
      <c r="C358" t="s">
        <v>17</v>
      </c>
      <c r="D358" t="s">
        <v>12</v>
      </c>
      <c r="E358" t="s">
        <v>13</v>
      </c>
      <c r="F358">
        <v>150000</v>
      </c>
      <c r="G358" t="s">
        <v>19</v>
      </c>
      <c r="H358">
        <v>150000</v>
      </c>
      <c r="I358" t="s">
        <v>29</v>
      </c>
      <c r="J358">
        <v>0</v>
      </c>
      <c r="K358" t="s">
        <v>29</v>
      </c>
      <c r="L358" t="s">
        <v>25</v>
      </c>
    </row>
    <row r="359" spans="1:12">
      <c r="A359">
        <v>357</v>
      </c>
      <c r="B359">
        <v>2022</v>
      </c>
      <c r="C359" t="s">
        <v>17</v>
      </c>
      <c r="D359" t="s">
        <v>12</v>
      </c>
      <c r="E359" t="s">
        <v>13</v>
      </c>
      <c r="F359">
        <v>211500</v>
      </c>
      <c r="G359" t="s">
        <v>19</v>
      </c>
      <c r="H359">
        <v>211500</v>
      </c>
      <c r="I359" t="s">
        <v>29</v>
      </c>
      <c r="J359">
        <v>100</v>
      </c>
      <c r="K359" t="s">
        <v>29</v>
      </c>
      <c r="L359" t="s">
        <v>25</v>
      </c>
    </row>
    <row r="360" spans="1:12">
      <c r="A360">
        <v>358</v>
      </c>
      <c r="B360">
        <v>2022</v>
      </c>
      <c r="C360" t="s">
        <v>17</v>
      </c>
      <c r="D360" t="s">
        <v>12</v>
      </c>
      <c r="E360" t="s">
        <v>109</v>
      </c>
      <c r="F360">
        <v>192400</v>
      </c>
      <c r="G360" t="s">
        <v>19</v>
      </c>
      <c r="H360">
        <v>192400</v>
      </c>
      <c r="I360" t="s">
        <v>62</v>
      </c>
      <c r="J360">
        <v>100</v>
      </c>
      <c r="K360" t="s">
        <v>62</v>
      </c>
      <c r="L360" t="s">
        <v>25</v>
      </c>
    </row>
    <row r="361" spans="1:12">
      <c r="A361">
        <v>359</v>
      </c>
      <c r="B361">
        <v>2022</v>
      </c>
      <c r="C361" t="s">
        <v>17</v>
      </c>
      <c r="D361" t="s">
        <v>12</v>
      </c>
      <c r="E361" t="s">
        <v>109</v>
      </c>
      <c r="F361">
        <v>90700</v>
      </c>
      <c r="G361" t="s">
        <v>19</v>
      </c>
      <c r="H361">
        <v>90700</v>
      </c>
      <c r="I361" t="s">
        <v>62</v>
      </c>
      <c r="J361">
        <v>100</v>
      </c>
      <c r="K361" t="s">
        <v>62</v>
      </c>
      <c r="L361" t="s">
        <v>25</v>
      </c>
    </row>
    <row r="362" spans="1:12">
      <c r="A362">
        <v>360</v>
      </c>
      <c r="B362">
        <v>2022</v>
      </c>
      <c r="C362" t="s">
        <v>17</v>
      </c>
      <c r="D362" t="s">
        <v>12</v>
      </c>
      <c r="E362" t="s">
        <v>31</v>
      </c>
      <c r="F362">
        <v>130000</v>
      </c>
      <c r="G362" t="s">
        <v>19</v>
      </c>
      <c r="H362">
        <v>130000</v>
      </c>
      <c r="I362" t="s">
        <v>62</v>
      </c>
      <c r="J362">
        <v>100</v>
      </c>
      <c r="K362" t="s">
        <v>62</v>
      </c>
      <c r="L362" t="s">
        <v>25</v>
      </c>
    </row>
    <row r="363" spans="1:12">
      <c r="A363">
        <v>361</v>
      </c>
      <c r="B363">
        <v>2022</v>
      </c>
      <c r="C363" t="s">
        <v>17</v>
      </c>
      <c r="D363" t="s">
        <v>12</v>
      </c>
      <c r="E363" t="s">
        <v>31</v>
      </c>
      <c r="F363">
        <v>61300</v>
      </c>
      <c r="G363" t="s">
        <v>19</v>
      </c>
      <c r="H363">
        <v>61300</v>
      </c>
      <c r="I363" t="s">
        <v>62</v>
      </c>
      <c r="J363">
        <v>100</v>
      </c>
      <c r="K363" t="s">
        <v>62</v>
      </c>
      <c r="L363" t="s">
        <v>25</v>
      </c>
    </row>
    <row r="364" spans="1:12">
      <c r="A364">
        <v>362</v>
      </c>
      <c r="B364">
        <v>2022</v>
      </c>
      <c r="C364" t="s">
        <v>17</v>
      </c>
      <c r="D364" t="s">
        <v>12</v>
      </c>
      <c r="E364" t="s">
        <v>31</v>
      </c>
      <c r="F364">
        <v>130000</v>
      </c>
      <c r="G364" t="s">
        <v>19</v>
      </c>
      <c r="H364">
        <v>130000</v>
      </c>
      <c r="I364" t="s">
        <v>62</v>
      </c>
      <c r="J364">
        <v>100</v>
      </c>
      <c r="K364" t="s">
        <v>62</v>
      </c>
      <c r="L364" t="s">
        <v>25</v>
      </c>
    </row>
    <row r="365" spans="1:12">
      <c r="A365">
        <v>363</v>
      </c>
      <c r="B365">
        <v>2022</v>
      </c>
      <c r="C365" t="s">
        <v>17</v>
      </c>
      <c r="D365" t="s">
        <v>12</v>
      </c>
      <c r="E365" t="s">
        <v>31</v>
      </c>
      <c r="F365">
        <v>61300</v>
      </c>
      <c r="G365" t="s">
        <v>19</v>
      </c>
      <c r="H365">
        <v>61300</v>
      </c>
      <c r="I365" t="s">
        <v>62</v>
      </c>
      <c r="J365">
        <v>100</v>
      </c>
      <c r="K365" t="s">
        <v>62</v>
      </c>
      <c r="L365" t="s">
        <v>25</v>
      </c>
    </row>
    <row r="366" spans="1:12">
      <c r="A366">
        <v>364</v>
      </c>
      <c r="B366">
        <v>2022</v>
      </c>
      <c r="C366" t="s">
        <v>17</v>
      </c>
      <c r="D366" t="s">
        <v>12</v>
      </c>
      <c r="E366" t="s">
        <v>43</v>
      </c>
      <c r="F366">
        <v>160000</v>
      </c>
      <c r="G366" t="s">
        <v>19</v>
      </c>
      <c r="H366">
        <v>160000</v>
      </c>
      <c r="I366" t="s">
        <v>29</v>
      </c>
      <c r="J366">
        <v>0</v>
      </c>
      <c r="K366" t="s">
        <v>29</v>
      </c>
      <c r="L366" t="s">
        <v>16</v>
      </c>
    </row>
    <row r="367" spans="1:12">
      <c r="A367">
        <v>365</v>
      </c>
      <c r="B367">
        <v>2022</v>
      </c>
      <c r="C367" t="s">
        <v>17</v>
      </c>
      <c r="D367" t="s">
        <v>12</v>
      </c>
      <c r="E367" t="s">
        <v>13</v>
      </c>
      <c r="F367">
        <v>138600</v>
      </c>
      <c r="G367" t="s">
        <v>19</v>
      </c>
      <c r="H367">
        <v>138600</v>
      </c>
      <c r="I367" t="s">
        <v>29</v>
      </c>
      <c r="J367">
        <v>100</v>
      </c>
      <c r="K367" t="s">
        <v>29</v>
      </c>
      <c r="L367" t="s">
        <v>25</v>
      </c>
    </row>
    <row r="368" spans="1:12">
      <c r="A368">
        <v>366</v>
      </c>
      <c r="B368">
        <v>2022</v>
      </c>
      <c r="C368" t="s">
        <v>17</v>
      </c>
      <c r="D368" t="s">
        <v>12</v>
      </c>
      <c r="E368" t="s">
        <v>43</v>
      </c>
      <c r="F368">
        <v>136000</v>
      </c>
      <c r="G368" t="s">
        <v>19</v>
      </c>
      <c r="H368">
        <v>136000</v>
      </c>
      <c r="I368" t="s">
        <v>29</v>
      </c>
      <c r="J368">
        <v>0</v>
      </c>
      <c r="K368" t="s">
        <v>29</v>
      </c>
      <c r="L368" t="s">
        <v>25</v>
      </c>
    </row>
    <row r="369" spans="1:12">
      <c r="A369">
        <v>367</v>
      </c>
      <c r="B369">
        <v>2022</v>
      </c>
      <c r="C369" t="s">
        <v>11</v>
      </c>
      <c r="D369" t="s">
        <v>12</v>
      </c>
      <c r="E369" t="s">
        <v>31</v>
      </c>
      <c r="F369">
        <v>58000</v>
      </c>
      <c r="G369" t="s">
        <v>19</v>
      </c>
      <c r="H369">
        <v>58000</v>
      </c>
      <c r="I369" t="s">
        <v>29</v>
      </c>
      <c r="J369">
        <v>0</v>
      </c>
      <c r="K369" t="s">
        <v>29</v>
      </c>
      <c r="L369" t="s">
        <v>21</v>
      </c>
    </row>
    <row r="370" spans="1:12">
      <c r="A370">
        <v>368</v>
      </c>
      <c r="B370">
        <v>2022</v>
      </c>
      <c r="C370" t="s">
        <v>53</v>
      </c>
      <c r="D370" t="s">
        <v>12</v>
      </c>
      <c r="E370" t="s">
        <v>131</v>
      </c>
      <c r="F370">
        <v>135000</v>
      </c>
      <c r="G370" t="s">
        <v>19</v>
      </c>
      <c r="H370">
        <v>135000</v>
      </c>
      <c r="I370" t="s">
        <v>29</v>
      </c>
      <c r="J370">
        <v>100</v>
      </c>
      <c r="K370" t="s">
        <v>29</v>
      </c>
      <c r="L370" t="s">
        <v>25</v>
      </c>
    </row>
    <row r="371" spans="1:12">
      <c r="A371">
        <v>369</v>
      </c>
      <c r="B371">
        <v>2022</v>
      </c>
      <c r="C371" t="s">
        <v>17</v>
      </c>
      <c r="D371" t="s">
        <v>12</v>
      </c>
      <c r="E371" t="s">
        <v>13</v>
      </c>
      <c r="F371">
        <v>170000</v>
      </c>
      <c r="G371" t="s">
        <v>19</v>
      </c>
      <c r="H371">
        <v>170000</v>
      </c>
      <c r="I371" t="s">
        <v>29</v>
      </c>
      <c r="J371">
        <v>100</v>
      </c>
      <c r="K371" t="s">
        <v>29</v>
      </c>
      <c r="L371" t="s">
        <v>25</v>
      </c>
    </row>
    <row r="372" spans="1:12">
      <c r="A372">
        <v>370</v>
      </c>
      <c r="B372">
        <v>2022</v>
      </c>
      <c r="C372" t="s">
        <v>17</v>
      </c>
      <c r="D372" t="s">
        <v>12</v>
      </c>
      <c r="E372" t="s">
        <v>13</v>
      </c>
      <c r="F372">
        <v>123000</v>
      </c>
      <c r="G372" t="s">
        <v>19</v>
      </c>
      <c r="H372">
        <v>123000</v>
      </c>
      <c r="I372" t="s">
        <v>29</v>
      </c>
      <c r="J372">
        <v>100</v>
      </c>
      <c r="K372" t="s">
        <v>29</v>
      </c>
      <c r="L372" t="s">
        <v>25</v>
      </c>
    </row>
    <row r="373" spans="1:12">
      <c r="A373">
        <v>371</v>
      </c>
      <c r="B373">
        <v>2022</v>
      </c>
      <c r="C373" t="s">
        <v>17</v>
      </c>
      <c r="D373" t="s">
        <v>12</v>
      </c>
      <c r="E373" t="s">
        <v>28</v>
      </c>
      <c r="F373">
        <v>189650</v>
      </c>
      <c r="G373" t="s">
        <v>19</v>
      </c>
      <c r="H373">
        <v>189650</v>
      </c>
      <c r="I373" t="s">
        <v>29</v>
      </c>
      <c r="J373">
        <v>0</v>
      </c>
      <c r="K373" t="s">
        <v>29</v>
      </c>
      <c r="L373" t="s">
        <v>25</v>
      </c>
    </row>
    <row r="374" spans="1:12">
      <c r="A374">
        <v>372</v>
      </c>
      <c r="B374">
        <v>2022</v>
      </c>
      <c r="C374" t="s">
        <v>17</v>
      </c>
      <c r="D374" t="s">
        <v>12</v>
      </c>
      <c r="E374" t="s">
        <v>28</v>
      </c>
      <c r="F374">
        <v>164996</v>
      </c>
      <c r="G374" t="s">
        <v>19</v>
      </c>
      <c r="H374">
        <v>164996</v>
      </c>
      <c r="I374" t="s">
        <v>29</v>
      </c>
      <c r="J374">
        <v>0</v>
      </c>
      <c r="K374" t="s">
        <v>29</v>
      </c>
      <c r="L374" t="s">
        <v>25</v>
      </c>
    </row>
    <row r="375" spans="1:12">
      <c r="A375">
        <v>373</v>
      </c>
      <c r="B375">
        <v>2022</v>
      </c>
      <c r="C375" t="s">
        <v>11</v>
      </c>
      <c r="D375" t="s">
        <v>12</v>
      </c>
      <c r="E375" t="s">
        <v>132</v>
      </c>
      <c r="F375">
        <v>50000</v>
      </c>
      <c r="G375" t="s">
        <v>14</v>
      </c>
      <c r="H375">
        <v>54957</v>
      </c>
      <c r="I375" t="s">
        <v>50</v>
      </c>
      <c r="J375">
        <v>0</v>
      </c>
      <c r="K375" t="s">
        <v>50</v>
      </c>
      <c r="L375" t="s">
        <v>25</v>
      </c>
    </row>
    <row r="376" spans="1:12">
      <c r="A376">
        <v>374</v>
      </c>
      <c r="B376">
        <v>2022</v>
      </c>
      <c r="C376" t="s">
        <v>11</v>
      </c>
      <c r="D376" t="s">
        <v>12</v>
      </c>
      <c r="E376" t="s">
        <v>132</v>
      </c>
      <c r="F376">
        <v>50000</v>
      </c>
      <c r="G376" t="s">
        <v>14</v>
      </c>
      <c r="H376">
        <v>54957</v>
      </c>
      <c r="I376" t="s">
        <v>50</v>
      </c>
      <c r="J376">
        <v>0</v>
      </c>
      <c r="K376" t="s">
        <v>50</v>
      </c>
      <c r="L376" t="s">
        <v>25</v>
      </c>
    </row>
    <row r="377" spans="1:12">
      <c r="A377">
        <v>375</v>
      </c>
      <c r="B377">
        <v>2022</v>
      </c>
      <c r="C377" t="s">
        <v>53</v>
      </c>
      <c r="D377" t="s">
        <v>12</v>
      </c>
      <c r="E377" t="s">
        <v>36</v>
      </c>
      <c r="F377">
        <v>150000</v>
      </c>
      <c r="G377" t="s">
        <v>61</v>
      </c>
      <c r="H377">
        <v>118187</v>
      </c>
      <c r="I377" t="s">
        <v>62</v>
      </c>
      <c r="J377">
        <v>100</v>
      </c>
      <c r="K377" t="s">
        <v>62</v>
      </c>
      <c r="L377" t="s">
        <v>21</v>
      </c>
    </row>
    <row r="378" spans="1:12">
      <c r="A378">
        <v>376</v>
      </c>
      <c r="B378">
        <v>2022</v>
      </c>
      <c r="C378" t="s">
        <v>17</v>
      </c>
      <c r="D378" t="s">
        <v>12</v>
      </c>
      <c r="E378" t="s">
        <v>31</v>
      </c>
      <c r="F378">
        <v>132000</v>
      </c>
      <c r="G378" t="s">
        <v>19</v>
      </c>
      <c r="H378">
        <v>132000</v>
      </c>
      <c r="I378" t="s">
        <v>29</v>
      </c>
      <c r="J378">
        <v>0</v>
      </c>
      <c r="K378" t="s">
        <v>29</v>
      </c>
      <c r="L378" t="s">
        <v>25</v>
      </c>
    </row>
    <row r="379" spans="1:12">
      <c r="A379">
        <v>377</v>
      </c>
      <c r="B379">
        <v>2022</v>
      </c>
      <c r="C379" t="s">
        <v>17</v>
      </c>
      <c r="D379" t="s">
        <v>12</v>
      </c>
      <c r="E379" t="s">
        <v>43</v>
      </c>
      <c r="F379">
        <v>165400</v>
      </c>
      <c r="G379" t="s">
        <v>19</v>
      </c>
      <c r="H379">
        <v>165400</v>
      </c>
      <c r="I379" t="s">
        <v>29</v>
      </c>
      <c r="J379">
        <v>100</v>
      </c>
      <c r="K379" t="s">
        <v>29</v>
      </c>
      <c r="L379" t="s">
        <v>25</v>
      </c>
    </row>
    <row r="380" spans="1:12">
      <c r="A380">
        <v>378</v>
      </c>
      <c r="B380">
        <v>2022</v>
      </c>
      <c r="C380" t="s">
        <v>17</v>
      </c>
      <c r="D380" t="s">
        <v>12</v>
      </c>
      <c r="E380" t="s">
        <v>109</v>
      </c>
      <c r="F380">
        <v>208775</v>
      </c>
      <c r="G380" t="s">
        <v>19</v>
      </c>
      <c r="H380">
        <v>208775</v>
      </c>
      <c r="I380" t="s">
        <v>29</v>
      </c>
      <c r="J380">
        <v>100</v>
      </c>
      <c r="K380" t="s">
        <v>29</v>
      </c>
      <c r="L380" t="s">
        <v>25</v>
      </c>
    </row>
    <row r="381" spans="1:12">
      <c r="A381">
        <v>379</v>
      </c>
      <c r="B381">
        <v>2022</v>
      </c>
      <c r="C381" t="s">
        <v>17</v>
      </c>
      <c r="D381" t="s">
        <v>12</v>
      </c>
      <c r="E381" t="s">
        <v>109</v>
      </c>
      <c r="F381">
        <v>147800</v>
      </c>
      <c r="G381" t="s">
        <v>19</v>
      </c>
      <c r="H381">
        <v>147800</v>
      </c>
      <c r="I381" t="s">
        <v>29</v>
      </c>
      <c r="J381">
        <v>100</v>
      </c>
      <c r="K381" t="s">
        <v>29</v>
      </c>
      <c r="L381" t="s">
        <v>25</v>
      </c>
    </row>
    <row r="382" spans="1:12">
      <c r="A382">
        <v>380</v>
      </c>
      <c r="B382">
        <v>2022</v>
      </c>
      <c r="C382" t="s">
        <v>17</v>
      </c>
      <c r="D382" t="s">
        <v>12</v>
      </c>
      <c r="E382" t="s">
        <v>43</v>
      </c>
      <c r="F382">
        <v>136994</v>
      </c>
      <c r="G382" t="s">
        <v>19</v>
      </c>
      <c r="H382">
        <v>136994</v>
      </c>
      <c r="I382" t="s">
        <v>29</v>
      </c>
      <c r="J382">
        <v>100</v>
      </c>
      <c r="K382" t="s">
        <v>29</v>
      </c>
      <c r="L382" t="s">
        <v>25</v>
      </c>
    </row>
    <row r="383" spans="1:12">
      <c r="A383">
        <v>381</v>
      </c>
      <c r="B383">
        <v>2022</v>
      </c>
      <c r="C383" t="s">
        <v>17</v>
      </c>
      <c r="D383" t="s">
        <v>12</v>
      </c>
      <c r="E383" t="s">
        <v>43</v>
      </c>
      <c r="F383">
        <v>101570</v>
      </c>
      <c r="G383" t="s">
        <v>19</v>
      </c>
      <c r="H383">
        <v>101570</v>
      </c>
      <c r="I383" t="s">
        <v>29</v>
      </c>
      <c r="J383">
        <v>100</v>
      </c>
      <c r="K383" t="s">
        <v>29</v>
      </c>
      <c r="L383" t="s">
        <v>25</v>
      </c>
    </row>
    <row r="384" spans="1:12">
      <c r="A384">
        <v>382</v>
      </c>
      <c r="B384">
        <v>2022</v>
      </c>
      <c r="C384" t="s">
        <v>17</v>
      </c>
      <c r="D384" t="s">
        <v>12</v>
      </c>
      <c r="E384" t="s">
        <v>31</v>
      </c>
      <c r="F384">
        <v>128875</v>
      </c>
      <c r="G384" t="s">
        <v>19</v>
      </c>
      <c r="H384">
        <v>128875</v>
      </c>
      <c r="I384" t="s">
        <v>29</v>
      </c>
      <c r="J384">
        <v>100</v>
      </c>
      <c r="K384" t="s">
        <v>29</v>
      </c>
      <c r="L384" t="s">
        <v>25</v>
      </c>
    </row>
    <row r="385" spans="1:12">
      <c r="A385">
        <v>383</v>
      </c>
      <c r="B385">
        <v>2022</v>
      </c>
      <c r="C385" t="s">
        <v>17</v>
      </c>
      <c r="D385" t="s">
        <v>12</v>
      </c>
      <c r="E385" t="s">
        <v>31</v>
      </c>
      <c r="F385">
        <v>93700</v>
      </c>
      <c r="G385" t="s">
        <v>19</v>
      </c>
      <c r="H385">
        <v>93700</v>
      </c>
      <c r="I385" t="s">
        <v>29</v>
      </c>
      <c r="J385">
        <v>100</v>
      </c>
      <c r="K385" t="s">
        <v>29</v>
      </c>
      <c r="L385" t="s">
        <v>25</v>
      </c>
    </row>
    <row r="386" spans="1:12">
      <c r="A386">
        <v>384</v>
      </c>
      <c r="B386">
        <v>2022</v>
      </c>
      <c r="C386" t="s">
        <v>53</v>
      </c>
      <c r="D386" t="s">
        <v>12</v>
      </c>
      <c r="E386" t="s">
        <v>133</v>
      </c>
      <c r="F386">
        <v>6000000</v>
      </c>
      <c r="G386" t="s">
        <v>39</v>
      </c>
      <c r="H386">
        <v>79039</v>
      </c>
      <c r="I386" t="s">
        <v>40</v>
      </c>
      <c r="J386">
        <v>50</v>
      </c>
      <c r="K386" t="s">
        <v>40</v>
      </c>
      <c r="L386" t="s">
        <v>16</v>
      </c>
    </row>
    <row r="387" spans="1:12">
      <c r="A387">
        <v>385</v>
      </c>
      <c r="B387">
        <v>2022</v>
      </c>
      <c r="C387" t="s">
        <v>17</v>
      </c>
      <c r="D387" t="s">
        <v>12</v>
      </c>
      <c r="E387" t="s">
        <v>43</v>
      </c>
      <c r="F387">
        <v>132320</v>
      </c>
      <c r="G387" t="s">
        <v>19</v>
      </c>
      <c r="H387">
        <v>132320</v>
      </c>
      <c r="I387" t="s">
        <v>29</v>
      </c>
      <c r="J387">
        <v>100</v>
      </c>
      <c r="K387" t="s">
        <v>29</v>
      </c>
      <c r="L387" t="s">
        <v>25</v>
      </c>
    </row>
    <row r="388" spans="1:12">
      <c r="A388">
        <v>386</v>
      </c>
      <c r="B388">
        <v>2022</v>
      </c>
      <c r="C388" t="s">
        <v>30</v>
      </c>
      <c r="D388" t="s">
        <v>12</v>
      </c>
      <c r="E388" t="s">
        <v>28</v>
      </c>
      <c r="F388">
        <v>28500</v>
      </c>
      <c r="G388" t="s">
        <v>23</v>
      </c>
      <c r="H388">
        <v>37300</v>
      </c>
      <c r="I388" t="s">
        <v>24</v>
      </c>
      <c r="J388">
        <v>100</v>
      </c>
      <c r="K388" t="s">
        <v>24</v>
      </c>
      <c r="L388" t="s">
        <v>16</v>
      </c>
    </row>
    <row r="389" spans="1:12">
      <c r="A389">
        <v>387</v>
      </c>
      <c r="B389">
        <v>2022</v>
      </c>
      <c r="C389" t="s">
        <v>17</v>
      </c>
      <c r="D389" t="s">
        <v>12</v>
      </c>
      <c r="E389" t="s">
        <v>31</v>
      </c>
      <c r="F389">
        <v>164000</v>
      </c>
      <c r="G389" t="s">
        <v>19</v>
      </c>
      <c r="H389">
        <v>164000</v>
      </c>
      <c r="I389" t="s">
        <v>29</v>
      </c>
      <c r="J389">
        <v>0</v>
      </c>
      <c r="K389" t="s">
        <v>29</v>
      </c>
      <c r="L389" t="s">
        <v>25</v>
      </c>
    </row>
    <row r="390" spans="1:12">
      <c r="A390">
        <v>388</v>
      </c>
      <c r="B390">
        <v>2022</v>
      </c>
      <c r="C390" t="s">
        <v>17</v>
      </c>
      <c r="D390" t="s">
        <v>12</v>
      </c>
      <c r="E390" t="s">
        <v>43</v>
      </c>
      <c r="F390">
        <v>155000</v>
      </c>
      <c r="G390" t="s">
        <v>19</v>
      </c>
      <c r="H390">
        <v>155000</v>
      </c>
      <c r="I390" t="s">
        <v>29</v>
      </c>
      <c r="J390">
        <v>100</v>
      </c>
      <c r="K390" t="s">
        <v>29</v>
      </c>
      <c r="L390" t="s">
        <v>25</v>
      </c>
    </row>
    <row r="391" spans="1:12">
      <c r="A391">
        <v>389</v>
      </c>
      <c r="B391">
        <v>2022</v>
      </c>
      <c r="C391" t="s">
        <v>11</v>
      </c>
      <c r="D391" t="s">
        <v>12</v>
      </c>
      <c r="E391" t="s">
        <v>28</v>
      </c>
      <c r="F391">
        <v>95000</v>
      </c>
      <c r="G391" t="s">
        <v>23</v>
      </c>
      <c r="H391">
        <v>124333</v>
      </c>
      <c r="I391" t="s">
        <v>24</v>
      </c>
      <c r="J391">
        <v>0</v>
      </c>
      <c r="K391" t="s">
        <v>24</v>
      </c>
      <c r="L391" t="s">
        <v>25</v>
      </c>
    </row>
    <row r="392" spans="1:12">
      <c r="A392">
        <v>390</v>
      </c>
      <c r="B392">
        <v>2022</v>
      </c>
      <c r="C392" t="s">
        <v>11</v>
      </c>
      <c r="D392" t="s">
        <v>12</v>
      </c>
      <c r="E392" t="s">
        <v>28</v>
      </c>
      <c r="F392">
        <v>75000</v>
      </c>
      <c r="G392" t="s">
        <v>23</v>
      </c>
      <c r="H392">
        <v>98158</v>
      </c>
      <c r="I392" t="s">
        <v>24</v>
      </c>
      <c r="J392">
        <v>0</v>
      </c>
      <c r="K392" t="s">
        <v>24</v>
      </c>
      <c r="L392" t="s">
        <v>25</v>
      </c>
    </row>
    <row r="393" spans="1:12">
      <c r="A393">
        <v>391</v>
      </c>
      <c r="B393">
        <v>2022</v>
      </c>
      <c r="C393" t="s">
        <v>11</v>
      </c>
      <c r="D393" t="s">
        <v>12</v>
      </c>
      <c r="E393" t="s">
        <v>70</v>
      </c>
      <c r="F393">
        <v>120000</v>
      </c>
      <c r="G393" t="s">
        <v>19</v>
      </c>
      <c r="H393">
        <v>120000</v>
      </c>
      <c r="I393" t="s">
        <v>29</v>
      </c>
      <c r="J393">
        <v>0</v>
      </c>
      <c r="K393" t="s">
        <v>29</v>
      </c>
      <c r="L393" t="s">
        <v>25</v>
      </c>
    </row>
    <row r="394" spans="1:12">
      <c r="A394">
        <v>392</v>
      </c>
      <c r="B394">
        <v>2022</v>
      </c>
      <c r="C394" t="s">
        <v>17</v>
      </c>
      <c r="D394" t="s">
        <v>12</v>
      </c>
      <c r="E394" t="s">
        <v>31</v>
      </c>
      <c r="F394">
        <v>112900</v>
      </c>
      <c r="G394" t="s">
        <v>19</v>
      </c>
      <c r="H394">
        <v>112900</v>
      </c>
      <c r="I394" t="s">
        <v>29</v>
      </c>
      <c r="J394">
        <v>100</v>
      </c>
      <c r="K394" t="s">
        <v>29</v>
      </c>
      <c r="L394" t="s">
        <v>25</v>
      </c>
    </row>
    <row r="395" spans="1:12">
      <c r="A395">
        <v>393</v>
      </c>
      <c r="B395">
        <v>2022</v>
      </c>
      <c r="C395" t="s">
        <v>17</v>
      </c>
      <c r="D395" t="s">
        <v>12</v>
      </c>
      <c r="E395" t="s">
        <v>31</v>
      </c>
      <c r="F395">
        <v>90320</v>
      </c>
      <c r="G395" t="s">
        <v>19</v>
      </c>
      <c r="H395">
        <v>90320</v>
      </c>
      <c r="I395" t="s">
        <v>29</v>
      </c>
      <c r="J395">
        <v>100</v>
      </c>
      <c r="K395" t="s">
        <v>29</v>
      </c>
      <c r="L395" t="s">
        <v>25</v>
      </c>
    </row>
    <row r="396" spans="1:12">
      <c r="A396">
        <v>394</v>
      </c>
      <c r="B396">
        <v>2022</v>
      </c>
      <c r="C396" t="s">
        <v>17</v>
      </c>
      <c r="D396" t="s">
        <v>12</v>
      </c>
      <c r="E396" t="s">
        <v>105</v>
      </c>
      <c r="F396">
        <v>145000</v>
      </c>
      <c r="G396" t="s">
        <v>19</v>
      </c>
      <c r="H396">
        <v>145000</v>
      </c>
      <c r="I396" t="s">
        <v>29</v>
      </c>
      <c r="J396">
        <v>100</v>
      </c>
      <c r="K396" t="s">
        <v>29</v>
      </c>
      <c r="L396" t="s">
        <v>25</v>
      </c>
    </row>
    <row r="397" spans="1:12">
      <c r="A397">
        <v>395</v>
      </c>
      <c r="B397">
        <v>2022</v>
      </c>
      <c r="C397" t="s">
        <v>17</v>
      </c>
      <c r="D397" t="s">
        <v>12</v>
      </c>
      <c r="E397" t="s">
        <v>105</v>
      </c>
      <c r="F397">
        <v>105400</v>
      </c>
      <c r="G397" t="s">
        <v>19</v>
      </c>
      <c r="H397">
        <v>105400</v>
      </c>
      <c r="I397" t="s">
        <v>29</v>
      </c>
      <c r="J397">
        <v>100</v>
      </c>
      <c r="K397" t="s">
        <v>29</v>
      </c>
      <c r="L397" t="s">
        <v>25</v>
      </c>
    </row>
    <row r="398" spans="1:12">
      <c r="A398">
        <v>396</v>
      </c>
      <c r="B398">
        <v>2022</v>
      </c>
      <c r="C398" t="s">
        <v>11</v>
      </c>
      <c r="D398" t="s">
        <v>12</v>
      </c>
      <c r="E398" t="s">
        <v>28</v>
      </c>
      <c r="F398">
        <v>80000</v>
      </c>
      <c r="G398" t="s">
        <v>14</v>
      </c>
      <c r="H398">
        <v>87932</v>
      </c>
      <c r="I398" t="s">
        <v>38</v>
      </c>
      <c r="J398">
        <v>100</v>
      </c>
      <c r="K398" t="s">
        <v>15</v>
      </c>
      <c r="L398" t="s">
        <v>25</v>
      </c>
    </row>
    <row r="399" spans="1:12">
      <c r="A399">
        <v>397</v>
      </c>
      <c r="B399">
        <v>2022</v>
      </c>
      <c r="C399" t="s">
        <v>11</v>
      </c>
      <c r="D399" t="s">
        <v>12</v>
      </c>
      <c r="E399" t="s">
        <v>43</v>
      </c>
      <c r="F399">
        <v>90000</v>
      </c>
      <c r="G399" t="s">
        <v>23</v>
      </c>
      <c r="H399">
        <v>117789</v>
      </c>
      <c r="I399" t="s">
        <v>24</v>
      </c>
      <c r="J399">
        <v>0</v>
      </c>
      <c r="K399" t="s">
        <v>24</v>
      </c>
      <c r="L399" t="s">
        <v>25</v>
      </c>
    </row>
    <row r="400" spans="1:12">
      <c r="A400">
        <v>398</v>
      </c>
      <c r="B400">
        <v>2022</v>
      </c>
      <c r="C400" t="s">
        <v>17</v>
      </c>
      <c r="D400" t="s">
        <v>12</v>
      </c>
      <c r="E400" t="s">
        <v>13</v>
      </c>
      <c r="F400">
        <v>215300</v>
      </c>
      <c r="G400" t="s">
        <v>19</v>
      </c>
      <c r="H400">
        <v>215300</v>
      </c>
      <c r="I400" t="s">
        <v>29</v>
      </c>
      <c r="J400">
        <v>100</v>
      </c>
      <c r="K400" t="s">
        <v>29</v>
      </c>
      <c r="L400" t="s">
        <v>16</v>
      </c>
    </row>
    <row r="401" spans="1:12">
      <c r="A401">
        <v>399</v>
      </c>
      <c r="B401">
        <v>2022</v>
      </c>
      <c r="C401" t="s">
        <v>17</v>
      </c>
      <c r="D401" t="s">
        <v>12</v>
      </c>
      <c r="E401" t="s">
        <v>13</v>
      </c>
      <c r="F401">
        <v>158200</v>
      </c>
      <c r="G401" t="s">
        <v>19</v>
      </c>
      <c r="H401">
        <v>158200</v>
      </c>
      <c r="I401" t="s">
        <v>29</v>
      </c>
      <c r="J401">
        <v>100</v>
      </c>
      <c r="K401" t="s">
        <v>29</v>
      </c>
      <c r="L401" t="s">
        <v>16</v>
      </c>
    </row>
    <row r="402" spans="1:12">
      <c r="A402">
        <v>400</v>
      </c>
      <c r="B402">
        <v>2022</v>
      </c>
      <c r="C402" t="s">
        <v>17</v>
      </c>
      <c r="D402" t="s">
        <v>12</v>
      </c>
      <c r="E402" t="s">
        <v>43</v>
      </c>
      <c r="F402">
        <v>209100</v>
      </c>
      <c r="G402" t="s">
        <v>19</v>
      </c>
      <c r="H402">
        <v>209100</v>
      </c>
      <c r="I402" t="s">
        <v>29</v>
      </c>
      <c r="J402">
        <v>100</v>
      </c>
      <c r="K402" t="s">
        <v>29</v>
      </c>
      <c r="L402" t="s">
        <v>16</v>
      </c>
    </row>
    <row r="403" spans="1:12">
      <c r="A403">
        <v>401</v>
      </c>
      <c r="B403">
        <v>2022</v>
      </c>
      <c r="C403" t="s">
        <v>17</v>
      </c>
      <c r="D403" t="s">
        <v>12</v>
      </c>
      <c r="E403" t="s">
        <v>43</v>
      </c>
      <c r="F403">
        <v>154600</v>
      </c>
      <c r="G403" t="s">
        <v>19</v>
      </c>
      <c r="H403">
        <v>154600</v>
      </c>
      <c r="I403" t="s">
        <v>29</v>
      </c>
      <c r="J403">
        <v>100</v>
      </c>
      <c r="K403" t="s">
        <v>29</v>
      </c>
      <c r="L403" t="s">
        <v>16</v>
      </c>
    </row>
    <row r="404" spans="1:12">
      <c r="A404">
        <v>402</v>
      </c>
      <c r="B404">
        <v>2022</v>
      </c>
      <c r="C404" t="s">
        <v>17</v>
      </c>
      <c r="D404" t="s">
        <v>12</v>
      </c>
      <c r="E404" t="s">
        <v>31</v>
      </c>
      <c r="F404">
        <v>115934</v>
      </c>
      <c r="G404" t="s">
        <v>19</v>
      </c>
      <c r="H404">
        <v>115934</v>
      </c>
      <c r="I404" t="s">
        <v>29</v>
      </c>
      <c r="J404">
        <v>0</v>
      </c>
      <c r="K404" t="s">
        <v>29</v>
      </c>
      <c r="L404" t="s">
        <v>25</v>
      </c>
    </row>
    <row r="405" spans="1:12">
      <c r="A405">
        <v>403</v>
      </c>
      <c r="B405">
        <v>2022</v>
      </c>
      <c r="C405" t="s">
        <v>17</v>
      </c>
      <c r="D405" t="s">
        <v>12</v>
      </c>
      <c r="E405" t="s">
        <v>31</v>
      </c>
      <c r="F405">
        <v>81666</v>
      </c>
      <c r="G405" t="s">
        <v>19</v>
      </c>
      <c r="H405">
        <v>81666</v>
      </c>
      <c r="I405" t="s">
        <v>29</v>
      </c>
      <c r="J405">
        <v>0</v>
      </c>
      <c r="K405" t="s">
        <v>29</v>
      </c>
      <c r="L405" t="s">
        <v>25</v>
      </c>
    </row>
    <row r="406" spans="1:12">
      <c r="A406">
        <v>404</v>
      </c>
      <c r="B406">
        <v>2022</v>
      </c>
      <c r="C406" t="s">
        <v>17</v>
      </c>
      <c r="D406" t="s">
        <v>12</v>
      </c>
      <c r="E406" t="s">
        <v>43</v>
      </c>
      <c r="F406">
        <v>175000</v>
      </c>
      <c r="G406" t="s">
        <v>19</v>
      </c>
      <c r="H406">
        <v>175000</v>
      </c>
      <c r="I406" t="s">
        <v>29</v>
      </c>
      <c r="J406">
        <v>100</v>
      </c>
      <c r="K406" t="s">
        <v>29</v>
      </c>
      <c r="L406" t="s">
        <v>25</v>
      </c>
    </row>
    <row r="407" spans="1:12">
      <c r="A407">
        <v>405</v>
      </c>
      <c r="B407">
        <v>2022</v>
      </c>
      <c r="C407" t="s">
        <v>11</v>
      </c>
      <c r="D407" t="s">
        <v>12</v>
      </c>
      <c r="E407" t="s">
        <v>43</v>
      </c>
      <c r="F407">
        <v>75000</v>
      </c>
      <c r="G407" t="s">
        <v>23</v>
      </c>
      <c r="H407">
        <v>98158</v>
      </c>
      <c r="I407" t="s">
        <v>24</v>
      </c>
      <c r="J407">
        <v>0</v>
      </c>
      <c r="K407" t="s">
        <v>24</v>
      </c>
      <c r="L407" t="s">
        <v>25</v>
      </c>
    </row>
    <row r="408" spans="1:12">
      <c r="A408">
        <v>406</v>
      </c>
      <c r="B408">
        <v>2022</v>
      </c>
      <c r="C408" t="s">
        <v>11</v>
      </c>
      <c r="D408" t="s">
        <v>12</v>
      </c>
      <c r="E408" t="s">
        <v>31</v>
      </c>
      <c r="F408">
        <v>58000</v>
      </c>
      <c r="G408" t="s">
        <v>19</v>
      </c>
      <c r="H408">
        <v>58000</v>
      </c>
      <c r="I408" t="s">
        <v>29</v>
      </c>
      <c r="J408">
        <v>0</v>
      </c>
      <c r="K408" t="s">
        <v>29</v>
      </c>
      <c r="L408" t="s">
        <v>21</v>
      </c>
    </row>
    <row r="409" spans="1:12">
      <c r="A409">
        <v>407</v>
      </c>
      <c r="B409">
        <v>2022</v>
      </c>
      <c r="C409" t="s">
        <v>17</v>
      </c>
      <c r="D409" t="s">
        <v>12</v>
      </c>
      <c r="E409" t="s">
        <v>43</v>
      </c>
      <c r="F409">
        <v>183600</v>
      </c>
      <c r="G409" t="s">
        <v>19</v>
      </c>
      <c r="H409">
        <v>183600</v>
      </c>
      <c r="I409" t="s">
        <v>29</v>
      </c>
      <c r="J409">
        <v>100</v>
      </c>
      <c r="K409" t="s">
        <v>29</v>
      </c>
      <c r="L409" t="s">
        <v>16</v>
      </c>
    </row>
    <row r="410" spans="1:12">
      <c r="A410">
        <v>408</v>
      </c>
      <c r="B410">
        <v>2022</v>
      </c>
      <c r="C410" t="s">
        <v>11</v>
      </c>
      <c r="D410" t="s">
        <v>12</v>
      </c>
      <c r="E410" t="s">
        <v>31</v>
      </c>
      <c r="F410">
        <v>40000</v>
      </c>
      <c r="G410" t="s">
        <v>23</v>
      </c>
      <c r="H410">
        <v>52351</v>
      </c>
      <c r="I410" t="s">
        <v>24</v>
      </c>
      <c r="J410">
        <v>100</v>
      </c>
      <c r="K410" t="s">
        <v>24</v>
      </c>
      <c r="L410" t="s">
        <v>25</v>
      </c>
    </row>
    <row r="411" spans="1:12">
      <c r="A411">
        <v>409</v>
      </c>
      <c r="B411">
        <v>2022</v>
      </c>
      <c r="C411" t="s">
        <v>17</v>
      </c>
      <c r="D411" t="s">
        <v>12</v>
      </c>
      <c r="E411" t="s">
        <v>13</v>
      </c>
      <c r="F411">
        <v>180000</v>
      </c>
      <c r="G411" t="s">
        <v>19</v>
      </c>
      <c r="H411">
        <v>180000</v>
      </c>
      <c r="I411" t="s">
        <v>29</v>
      </c>
      <c r="J411">
        <v>100</v>
      </c>
      <c r="K411" t="s">
        <v>29</v>
      </c>
      <c r="L411" t="s">
        <v>25</v>
      </c>
    </row>
    <row r="412" spans="1:12">
      <c r="A412">
        <v>410</v>
      </c>
      <c r="B412">
        <v>2022</v>
      </c>
      <c r="C412" t="s">
        <v>11</v>
      </c>
      <c r="D412" t="s">
        <v>12</v>
      </c>
      <c r="E412" t="s">
        <v>13</v>
      </c>
      <c r="F412">
        <v>55000</v>
      </c>
      <c r="G412" t="s">
        <v>23</v>
      </c>
      <c r="H412">
        <v>71982</v>
      </c>
      <c r="I412" t="s">
        <v>24</v>
      </c>
      <c r="J412">
        <v>0</v>
      </c>
      <c r="K412" t="s">
        <v>24</v>
      </c>
      <c r="L412" t="s">
        <v>25</v>
      </c>
    </row>
    <row r="413" spans="1:12">
      <c r="A413">
        <v>411</v>
      </c>
      <c r="B413">
        <v>2022</v>
      </c>
      <c r="C413" t="s">
        <v>11</v>
      </c>
      <c r="D413" t="s">
        <v>12</v>
      </c>
      <c r="E413" t="s">
        <v>13</v>
      </c>
      <c r="F413">
        <v>35000</v>
      </c>
      <c r="G413" t="s">
        <v>23</v>
      </c>
      <c r="H413">
        <v>45807</v>
      </c>
      <c r="I413" t="s">
        <v>24</v>
      </c>
      <c r="J413">
        <v>0</v>
      </c>
      <c r="K413" t="s">
        <v>24</v>
      </c>
      <c r="L413" t="s">
        <v>25</v>
      </c>
    </row>
    <row r="414" spans="1:12">
      <c r="A414">
        <v>412</v>
      </c>
      <c r="B414">
        <v>2022</v>
      </c>
      <c r="C414" t="s">
        <v>11</v>
      </c>
      <c r="D414" t="s">
        <v>12</v>
      </c>
      <c r="E414" t="s">
        <v>43</v>
      </c>
      <c r="F414">
        <v>60000</v>
      </c>
      <c r="G414" t="s">
        <v>14</v>
      </c>
      <c r="H414">
        <v>65949</v>
      </c>
      <c r="I414" t="s">
        <v>50</v>
      </c>
      <c r="J414">
        <v>100</v>
      </c>
      <c r="K414" t="s">
        <v>50</v>
      </c>
      <c r="L414" t="s">
        <v>25</v>
      </c>
    </row>
    <row r="415" spans="1:12">
      <c r="A415">
        <v>413</v>
      </c>
      <c r="B415">
        <v>2022</v>
      </c>
      <c r="C415" t="s">
        <v>11</v>
      </c>
      <c r="D415" t="s">
        <v>12</v>
      </c>
      <c r="E415" t="s">
        <v>43</v>
      </c>
      <c r="F415">
        <v>45000</v>
      </c>
      <c r="G415" t="s">
        <v>14</v>
      </c>
      <c r="H415">
        <v>49461</v>
      </c>
      <c r="I415" t="s">
        <v>50</v>
      </c>
      <c r="J415">
        <v>100</v>
      </c>
      <c r="K415" t="s">
        <v>50</v>
      </c>
      <c r="L415" t="s">
        <v>25</v>
      </c>
    </row>
    <row r="416" spans="1:12">
      <c r="A416">
        <v>414</v>
      </c>
      <c r="B416">
        <v>2022</v>
      </c>
      <c r="C416" t="s">
        <v>11</v>
      </c>
      <c r="D416" t="s">
        <v>12</v>
      </c>
      <c r="E416" t="s">
        <v>43</v>
      </c>
      <c r="F416">
        <v>60000</v>
      </c>
      <c r="G416" t="s">
        <v>23</v>
      </c>
      <c r="H416">
        <v>78526</v>
      </c>
      <c r="I416" t="s">
        <v>24</v>
      </c>
      <c r="J416">
        <v>100</v>
      </c>
      <c r="K416" t="s">
        <v>24</v>
      </c>
      <c r="L416" t="s">
        <v>25</v>
      </c>
    </row>
    <row r="417" spans="1:12">
      <c r="A417">
        <v>415</v>
      </c>
      <c r="B417">
        <v>2022</v>
      </c>
      <c r="C417" t="s">
        <v>11</v>
      </c>
      <c r="D417" t="s">
        <v>12</v>
      </c>
      <c r="E417" t="s">
        <v>43</v>
      </c>
      <c r="F417">
        <v>45000</v>
      </c>
      <c r="G417" t="s">
        <v>23</v>
      </c>
      <c r="H417">
        <v>58894</v>
      </c>
      <c r="I417" t="s">
        <v>24</v>
      </c>
      <c r="J417">
        <v>100</v>
      </c>
      <c r="K417" t="s">
        <v>24</v>
      </c>
      <c r="L417" t="s">
        <v>25</v>
      </c>
    </row>
    <row r="418" spans="1:12">
      <c r="A418">
        <v>416</v>
      </c>
      <c r="B418">
        <v>2022</v>
      </c>
      <c r="C418" t="s">
        <v>17</v>
      </c>
      <c r="D418" t="s">
        <v>12</v>
      </c>
      <c r="E418" t="s">
        <v>13</v>
      </c>
      <c r="F418">
        <v>260000</v>
      </c>
      <c r="G418" t="s">
        <v>19</v>
      </c>
      <c r="H418">
        <v>260000</v>
      </c>
      <c r="I418" t="s">
        <v>29</v>
      </c>
      <c r="J418">
        <v>100</v>
      </c>
      <c r="K418" t="s">
        <v>29</v>
      </c>
      <c r="L418" t="s">
        <v>25</v>
      </c>
    </row>
    <row r="419" spans="1:12">
      <c r="A419">
        <v>417</v>
      </c>
      <c r="B419">
        <v>2022</v>
      </c>
      <c r="C419" t="s">
        <v>17</v>
      </c>
      <c r="D419" t="s">
        <v>12</v>
      </c>
      <c r="E419" t="s">
        <v>95</v>
      </c>
      <c r="F419">
        <v>60000</v>
      </c>
      <c r="G419" t="s">
        <v>19</v>
      </c>
      <c r="H419">
        <v>60000</v>
      </c>
      <c r="I419" t="s">
        <v>134</v>
      </c>
      <c r="J419">
        <v>100</v>
      </c>
      <c r="K419" t="s">
        <v>58</v>
      </c>
      <c r="L419" t="s">
        <v>16</v>
      </c>
    </row>
    <row r="420" spans="1:12">
      <c r="A420">
        <v>418</v>
      </c>
      <c r="B420">
        <v>2022</v>
      </c>
      <c r="C420" t="s">
        <v>11</v>
      </c>
      <c r="D420" t="s">
        <v>12</v>
      </c>
      <c r="E420" t="s">
        <v>43</v>
      </c>
      <c r="F420">
        <v>63900</v>
      </c>
      <c r="G420" t="s">
        <v>19</v>
      </c>
      <c r="H420">
        <v>63900</v>
      </c>
      <c r="I420" t="s">
        <v>29</v>
      </c>
      <c r="J420">
        <v>0</v>
      </c>
      <c r="K420" t="s">
        <v>29</v>
      </c>
      <c r="L420" t="s">
        <v>25</v>
      </c>
    </row>
    <row r="421" spans="1:12">
      <c r="A421">
        <v>419</v>
      </c>
      <c r="B421">
        <v>2022</v>
      </c>
      <c r="C421" t="s">
        <v>11</v>
      </c>
      <c r="D421" t="s">
        <v>12</v>
      </c>
      <c r="E421" t="s">
        <v>18</v>
      </c>
      <c r="F421">
        <v>160000</v>
      </c>
      <c r="G421" t="s">
        <v>19</v>
      </c>
      <c r="H421">
        <v>160000</v>
      </c>
      <c r="I421" t="s">
        <v>29</v>
      </c>
      <c r="J421">
        <v>100</v>
      </c>
      <c r="K421" t="s">
        <v>29</v>
      </c>
      <c r="L421" t="s">
        <v>16</v>
      </c>
    </row>
    <row r="422" spans="1:12">
      <c r="A422">
        <v>420</v>
      </c>
      <c r="B422">
        <v>2022</v>
      </c>
      <c r="C422" t="s">
        <v>11</v>
      </c>
      <c r="D422" t="s">
        <v>12</v>
      </c>
      <c r="E422" t="s">
        <v>18</v>
      </c>
      <c r="F422">
        <v>112300</v>
      </c>
      <c r="G422" t="s">
        <v>19</v>
      </c>
      <c r="H422">
        <v>112300</v>
      </c>
      <c r="I422" t="s">
        <v>29</v>
      </c>
      <c r="J422">
        <v>100</v>
      </c>
      <c r="K422" t="s">
        <v>29</v>
      </c>
      <c r="L422" t="s">
        <v>16</v>
      </c>
    </row>
    <row r="423" spans="1:12">
      <c r="A423">
        <v>421</v>
      </c>
      <c r="B423">
        <v>2022</v>
      </c>
      <c r="C423" t="s">
        <v>11</v>
      </c>
      <c r="D423" t="s">
        <v>12</v>
      </c>
      <c r="E423" t="s">
        <v>79</v>
      </c>
      <c r="F423">
        <v>241000</v>
      </c>
      <c r="G423" t="s">
        <v>19</v>
      </c>
      <c r="H423">
        <v>241000</v>
      </c>
      <c r="I423" t="s">
        <v>29</v>
      </c>
      <c r="J423">
        <v>100</v>
      </c>
      <c r="K423" t="s">
        <v>29</v>
      </c>
      <c r="L423" t="s">
        <v>25</v>
      </c>
    </row>
    <row r="424" spans="1:12">
      <c r="A424">
        <v>422</v>
      </c>
      <c r="B424">
        <v>2022</v>
      </c>
      <c r="C424" t="s">
        <v>11</v>
      </c>
      <c r="D424" t="s">
        <v>12</v>
      </c>
      <c r="E424" t="s">
        <v>79</v>
      </c>
      <c r="F424">
        <v>159000</v>
      </c>
      <c r="G424" t="s">
        <v>19</v>
      </c>
      <c r="H424">
        <v>159000</v>
      </c>
      <c r="I424" t="s">
        <v>29</v>
      </c>
      <c r="J424">
        <v>100</v>
      </c>
      <c r="K424" t="s">
        <v>29</v>
      </c>
      <c r="L424" t="s">
        <v>25</v>
      </c>
    </row>
    <row r="425" spans="1:12">
      <c r="A425">
        <v>423</v>
      </c>
      <c r="B425">
        <v>2022</v>
      </c>
      <c r="C425" t="s">
        <v>17</v>
      </c>
      <c r="D425" t="s">
        <v>12</v>
      </c>
      <c r="E425" t="s">
        <v>13</v>
      </c>
      <c r="F425">
        <v>180000</v>
      </c>
      <c r="G425" t="s">
        <v>19</v>
      </c>
      <c r="H425">
        <v>180000</v>
      </c>
      <c r="I425" t="s">
        <v>29</v>
      </c>
      <c r="J425">
        <v>0</v>
      </c>
      <c r="K425" t="s">
        <v>29</v>
      </c>
      <c r="L425" t="s">
        <v>25</v>
      </c>
    </row>
    <row r="426" spans="1:12">
      <c r="A426">
        <v>424</v>
      </c>
      <c r="B426">
        <v>2022</v>
      </c>
      <c r="C426" t="s">
        <v>17</v>
      </c>
      <c r="D426" t="s">
        <v>12</v>
      </c>
      <c r="E426" t="s">
        <v>13</v>
      </c>
      <c r="F426">
        <v>80000</v>
      </c>
      <c r="G426" t="s">
        <v>19</v>
      </c>
      <c r="H426">
        <v>80000</v>
      </c>
      <c r="I426" t="s">
        <v>29</v>
      </c>
      <c r="J426">
        <v>0</v>
      </c>
      <c r="K426" t="s">
        <v>29</v>
      </c>
      <c r="L426" t="s">
        <v>25</v>
      </c>
    </row>
    <row r="427" spans="1:12">
      <c r="A427">
        <v>425</v>
      </c>
      <c r="B427">
        <v>2022</v>
      </c>
      <c r="C427" t="s">
        <v>11</v>
      </c>
      <c r="D427" t="s">
        <v>12</v>
      </c>
      <c r="E427" t="s">
        <v>43</v>
      </c>
      <c r="F427">
        <v>82900</v>
      </c>
      <c r="G427" t="s">
        <v>19</v>
      </c>
      <c r="H427">
        <v>82900</v>
      </c>
      <c r="I427" t="s">
        <v>29</v>
      </c>
      <c r="J427">
        <v>0</v>
      </c>
      <c r="K427" t="s">
        <v>29</v>
      </c>
      <c r="L427" t="s">
        <v>25</v>
      </c>
    </row>
    <row r="428" spans="1:12">
      <c r="A428">
        <v>426</v>
      </c>
      <c r="B428">
        <v>2022</v>
      </c>
      <c r="C428" t="s">
        <v>17</v>
      </c>
      <c r="D428" t="s">
        <v>12</v>
      </c>
      <c r="E428" t="s">
        <v>43</v>
      </c>
      <c r="F428">
        <v>100800</v>
      </c>
      <c r="G428" t="s">
        <v>19</v>
      </c>
      <c r="H428">
        <v>100800</v>
      </c>
      <c r="I428" t="s">
        <v>29</v>
      </c>
      <c r="J428">
        <v>100</v>
      </c>
      <c r="K428" t="s">
        <v>29</v>
      </c>
      <c r="L428" t="s">
        <v>16</v>
      </c>
    </row>
    <row r="429" spans="1:12">
      <c r="A429">
        <v>427</v>
      </c>
      <c r="B429">
        <v>2022</v>
      </c>
      <c r="C429" t="s">
        <v>11</v>
      </c>
      <c r="D429" t="s">
        <v>12</v>
      </c>
      <c r="E429" t="s">
        <v>43</v>
      </c>
      <c r="F429">
        <v>45000</v>
      </c>
      <c r="G429" t="s">
        <v>14</v>
      </c>
      <c r="H429">
        <v>49461</v>
      </c>
      <c r="I429" t="s">
        <v>67</v>
      </c>
      <c r="J429">
        <v>100</v>
      </c>
      <c r="K429" t="s">
        <v>67</v>
      </c>
      <c r="L429" t="s">
        <v>25</v>
      </c>
    </row>
    <row r="430" spans="1:12">
      <c r="A430">
        <v>428</v>
      </c>
      <c r="B430">
        <v>2022</v>
      </c>
      <c r="C430" t="s">
        <v>17</v>
      </c>
      <c r="D430" t="s">
        <v>12</v>
      </c>
      <c r="E430" t="s">
        <v>13</v>
      </c>
      <c r="F430">
        <v>140400</v>
      </c>
      <c r="G430" t="s">
        <v>19</v>
      </c>
      <c r="H430">
        <v>140400</v>
      </c>
      <c r="I430" t="s">
        <v>29</v>
      </c>
      <c r="J430">
        <v>0</v>
      </c>
      <c r="K430" t="s">
        <v>29</v>
      </c>
      <c r="L430" t="s">
        <v>16</v>
      </c>
    </row>
    <row r="431" spans="1:12">
      <c r="A431">
        <v>429</v>
      </c>
      <c r="B431">
        <v>2022</v>
      </c>
      <c r="C431" t="s">
        <v>11</v>
      </c>
      <c r="D431" t="s">
        <v>12</v>
      </c>
      <c r="E431" t="s">
        <v>31</v>
      </c>
      <c r="F431">
        <v>30000</v>
      </c>
      <c r="G431" t="s">
        <v>23</v>
      </c>
      <c r="H431">
        <v>39263</v>
      </c>
      <c r="I431" t="s">
        <v>24</v>
      </c>
      <c r="J431">
        <v>100</v>
      </c>
      <c r="K431" t="s">
        <v>24</v>
      </c>
      <c r="L431" t="s">
        <v>25</v>
      </c>
    </row>
    <row r="432" spans="1:12">
      <c r="A432">
        <v>430</v>
      </c>
      <c r="B432">
        <v>2022</v>
      </c>
      <c r="C432" t="s">
        <v>11</v>
      </c>
      <c r="D432" t="s">
        <v>12</v>
      </c>
      <c r="E432" t="s">
        <v>31</v>
      </c>
      <c r="F432">
        <v>40000</v>
      </c>
      <c r="G432" t="s">
        <v>14</v>
      </c>
      <c r="H432">
        <v>43966</v>
      </c>
      <c r="I432" t="s">
        <v>67</v>
      </c>
      <c r="J432">
        <v>100</v>
      </c>
      <c r="K432" t="s">
        <v>67</v>
      </c>
      <c r="L432" t="s">
        <v>25</v>
      </c>
    </row>
    <row r="433" spans="1:12">
      <c r="A433">
        <v>431</v>
      </c>
      <c r="B433">
        <v>2022</v>
      </c>
      <c r="C433" t="s">
        <v>11</v>
      </c>
      <c r="D433" t="s">
        <v>12</v>
      </c>
      <c r="E433" t="s">
        <v>31</v>
      </c>
      <c r="F433">
        <v>30000</v>
      </c>
      <c r="G433" t="s">
        <v>14</v>
      </c>
      <c r="H433">
        <v>32974</v>
      </c>
      <c r="I433" t="s">
        <v>67</v>
      </c>
      <c r="J433">
        <v>100</v>
      </c>
      <c r="K433" t="s">
        <v>67</v>
      </c>
      <c r="L433" t="s">
        <v>25</v>
      </c>
    </row>
    <row r="434" spans="1:12">
      <c r="A434">
        <v>432</v>
      </c>
      <c r="B434">
        <v>2022</v>
      </c>
      <c r="C434" t="s">
        <v>11</v>
      </c>
      <c r="D434" t="s">
        <v>12</v>
      </c>
      <c r="E434" t="s">
        <v>43</v>
      </c>
      <c r="F434">
        <v>80000</v>
      </c>
      <c r="G434" t="s">
        <v>14</v>
      </c>
      <c r="H434">
        <v>87932</v>
      </c>
      <c r="I434" t="s">
        <v>67</v>
      </c>
      <c r="J434">
        <v>100</v>
      </c>
      <c r="K434" t="s">
        <v>67</v>
      </c>
      <c r="L434" t="s">
        <v>25</v>
      </c>
    </row>
    <row r="435" spans="1:12">
      <c r="A435">
        <v>433</v>
      </c>
      <c r="B435">
        <v>2022</v>
      </c>
      <c r="C435" t="s">
        <v>11</v>
      </c>
      <c r="D435" t="s">
        <v>12</v>
      </c>
      <c r="E435" t="s">
        <v>43</v>
      </c>
      <c r="F435">
        <v>70000</v>
      </c>
      <c r="G435" t="s">
        <v>14</v>
      </c>
      <c r="H435">
        <v>76940</v>
      </c>
      <c r="I435" t="s">
        <v>67</v>
      </c>
      <c r="J435">
        <v>100</v>
      </c>
      <c r="K435" t="s">
        <v>67</v>
      </c>
      <c r="L435" t="s">
        <v>25</v>
      </c>
    </row>
    <row r="436" spans="1:12">
      <c r="A436">
        <v>434</v>
      </c>
      <c r="B436">
        <v>2022</v>
      </c>
      <c r="C436" t="s">
        <v>11</v>
      </c>
      <c r="D436" t="s">
        <v>12</v>
      </c>
      <c r="E436" t="s">
        <v>43</v>
      </c>
      <c r="F436">
        <v>80000</v>
      </c>
      <c r="G436" t="s">
        <v>23</v>
      </c>
      <c r="H436">
        <v>104702</v>
      </c>
      <c r="I436" t="s">
        <v>24</v>
      </c>
      <c r="J436">
        <v>100</v>
      </c>
      <c r="K436" t="s">
        <v>24</v>
      </c>
      <c r="L436" t="s">
        <v>25</v>
      </c>
    </row>
    <row r="437" spans="1:12">
      <c r="A437">
        <v>435</v>
      </c>
      <c r="B437">
        <v>2022</v>
      </c>
      <c r="C437" t="s">
        <v>11</v>
      </c>
      <c r="D437" t="s">
        <v>12</v>
      </c>
      <c r="E437" t="s">
        <v>43</v>
      </c>
      <c r="F437">
        <v>70000</v>
      </c>
      <c r="G437" t="s">
        <v>23</v>
      </c>
      <c r="H437">
        <v>91614</v>
      </c>
      <c r="I437" t="s">
        <v>24</v>
      </c>
      <c r="J437">
        <v>100</v>
      </c>
      <c r="K437" t="s">
        <v>24</v>
      </c>
      <c r="L437" t="s">
        <v>25</v>
      </c>
    </row>
    <row r="438" spans="1:12">
      <c r="A438">
        <v>436</v>
      </c>
      <c r="B438">
        <v>2022</v>
      </c>
      <c r="C438" t="s">
        <v>11</v>
      </c>
      <c r="D438" t="s">
        <v>12</v>
      </c>
      <c r="E438" t="s">
        <v>43</v>
      </c>
      <c r="F438">
        <v>60000</v>
      </c>
      <c r="G438" t="s">
        <v>14</v>
      </c>
      <c r="H438">
        <v>65949</v>
      </c>
      <c r="I438" t="s">
        <v>67</v>
      </c>
      <c r="J438">
        <v>100</v>
      </c>
      <c r="K438" t="s">
        <v>67</v>
      </c>
      <c r="L438" t="s">
        <v>25</v>
      </c>
    </row>
    <row r="439" spans="1:12">
      <c r="A439">
        <v>437</v>
      </c>
      <c r="B439">
        <v>2022</v>
      </c>
      <c r="C439" t="s">
        <v>11</v>
      </c>
      <c r="D439" t="s">
        <v>12</v>
      </c>
      <c r="E439" t="s">
        <v>43</v>
      </c>
      <c r="F439">
        <v>80000</v>
      </c>
      <c r="G439" t="s">
        <v>14</v>
      </c>
      <c r="H439">
        <v>87932</v>
      </c>
      <c r="I439" t="s">
        <v>50</v>
      </c>
      <c r="J439">
        <v>100</v>
      </c>
      <c r="K439" t="s">
        <v>50</v>
      </c>
      <c r="L439" t="s">
        <v>25</v>
      </c>
    </row>
    <row r="440" spans="1:12">
      <c r="A440">
        <v>438</v>
      </c>
      <c r="B440">
        <v>2022</v>
      </c>
      <c r="C440" t="s">
        <v>17</v>
      </c>
      <c r="D440" t="s">
        <v>12</v>
      </c>
      <c r="E440" t="s">
        <v>28</v>
      </c>
      <c r="F440">
        <v>189650</v>
      </c>
      <c r="G440" t="s">
        <v>19</v>
      </c>
      <c r="H440">
        <v>189650</v>
      </c>
      <c r="I440" t="s">
        <v>29</v>
      </c>
      <c r="J440">
        <v>0</v>
      </c>
      <c r="K440" t="s">
        <v>29</v>
      </c>
      <c r="L440" t="s">
        <v>25</v>
      </c>
    </row>
    <row r="441" spans="1:12">
      <c r="A441">
        <v>439</v>
      </c>
      <c r="B441">
        <v>2022</v>
      </c>
      <c r="C441" t="s">
        <v>17</v>
      </c>
      <c r="D441" t="s">
        <v>12</v>
      </c>
      <c r="E441" t="s">
        <v>28</v>
      </c>
      <c r="F441">
        <v>164996</v>
      </c>
      <c r="G441" t="s">
        <v>19</v>
      </c>
      <c r="H441">
        <v>164996</v>
      </c>
      <c r="I441" t="s">
        <v>29</v>
      </c>
      <c r="J441">
        <v>0</v>
      </c>
      <c r="K441" t="s">
        <v>29</v>
      </c>
      <c r="L441" t="s">
        <v>25</v>
      </c>
    </row>
    <row r="442" spans="1:12">
      <c r="A442">
        <v>440</v>
      </c>
      <c r="B442">
        <v>2022</v>
      </c>
      <c r="C442" t="s">
        <v>11</v>
      </c>
      <c r="D442" t="s">
        <v>12</v>
      </c>
      <c r="E442" t="s">
        <v>31</v>
      </c>
      <c r="F442">
        <v>40000</v>
      </c>
      <c r="G442" t="s">
        <v>14</v>
      </c>
      <c r="H442">
        <v>43966</v>
      </c>
      <c r="I442" t="s">
        <v>50</v>
      </c>
      <c r="J442">
        <v>100</v>
      </c>
      <c r="K442" t="s">
        <v>50</v>
      </c>
      <c r="L442" t="s">
        <v>25</v>
      </c>
    </row>
    <row r="443" spans="1:12">
      <c r="A443">
        <v>441</v>
      </c>
      <c r="B443">
        <v>2022</v>
      </c>
      <c r="C443" t="s">
        <v>11</v>
      </c>
      <c r="D443" t="s">
        <v>12</v>
      </c>
      <c r="E443" t="s">
        <v>31</v>
      </c>
      <c r="F443">
        <v>30000</v>
      </c>
      <c r="G443" t="s">
        <v>14</v>
      </c>
      <c r="H443">
        <v>32974</v>
      </c>
      <c r="I443" t="s">
        <v>50</v>
      </c>
      <c r="J443">
        <v>100</v>
      </c>
      <c r="K443" t="s">
        <v>50</v>
      </c>
      <c r="L443" t="s">
        <v>25</v>
      </c>
    </row>
    <row r="444" spans="1:12">
      <c r="A444">
        <v>442</v>
      </c>
      <c r="B444">
        <v>2022</v>
      </c>
      <c r="C444" t="s">
        <v>11</v>
      </c>
      <c r="D444" t="s">
        <v>12</v>
      </c>
      <c r="E444" t="s">
        <v>43</v>
      </c>
      <c r="F444">
        <v>75000</v>
      </c>
      <c r="G444" t="s">
        <v>23</v>
      </c>
      <c r="H444">
        <v>98158</v>
      </c>
      <c r="I444" t="s">
        <v>24</v>
      </c>
      <c r="J444">
        <v>100</v>
      </c>
      <c r="K444" t="s">
        <v>24</v>
      </c>
      <c r="L444" t="s">
        <v>25</v>
      </c>
    </row>
    <row r="445" spans="1:12">
      <c r="A445">
        <v>443</v>
      </c>
      <c r="B445">
        <v>2022</v>
      </c>
      <c r="C445" t="s">
        <v>11</v>
      </c>
      <c r="D445" t="s">
        <v>12</v>
      </c>
      <c r="E445" t="s">
        <v>43</v>
      </c>
      <c r="F445">
        <v>60000</v>
      </c>
      <c r="G445" t="s">
        <v>23</v>
      </c>
      <c r="H445">
        <v>78526</v>
      </c>
      <c r="I445" t="s">
        <v>24</v>
      </c>
      <c r="J445">
        <v>100</v>
      </c>
      <c r="K445" t="s">
        <v>24</v>
      </c>
      <c r="L445" t="s">
        <v>25</v>
      </c>
    </row>
    <row r="446" spans="1:12">
      <c r="A446">
        <v>444</v>
      </c>
      <c r="B446">
        <v>2022</v>
      </c>
      <c r="C446" t="s">
        <v>17</v>
      </c>
      <c r="D446" t="s">
        <v>12</v>
      </c>
      <c r="E446" t="s">
        <v>13</v>
      </c>
      <c r="F446">
        <v>215300</v>
      </c>
      <c r="G446" t="s">
        <v>19</v>
      </c>
      <c r="H446">
        <v>215300</v>
      </c>
      <c r="I446" t="s">
        <v>29</v>
      </c>
      <c r="J446">
        <v>0</v>
      </c>
      <c r="K446" t="s">
        <v>29</v>
      </c>
      <c r="L446" t="s">
        <v>16</v>
      </c>
    </row>
    <row r="447" spans="1:12">
      <c r="A447">
        <v>445</v>
      </c>
      <c r="B447">
        <v>2022</v>
      </c>
      <c r="C447" t="s">
        <v>11</v>
      </c>
      <c r="D447" t="s">
        <v>12</v>
      </c>
      <c r="E447" t="s">
        <v>43</v>
      </c>
      <c r="F447">
        <v>70000</v>
      </c>
      <c r="G447" t="s">
        <v>14</v>
      </c>
      <c r="H447">
        <v>76940</v>
      </c>
      <c r="I447" t="s">
        <v>50</v>
      </c>
      <c r="J447">
        <v>100</v>
      </c>
      <c r="K447" t="s">
        <v>50</v>
      </c>
      <c r="L447" t="s">
        <v>25</v>
      </c>
    </row>
    <row r="448" spans="1:12">
      <c r="A448">
        <v>446</v>
      </c>
      <c r="B448">
        <v>2022</v>
      </c>
      <c r="C448" t="s">
        <v>17</v>
      </c>
      <c r="D448" t="s">
        <v>12</v>
      </c>
      <c r="E448" t="s">
        <v>43</v>
      </c>
      <c r="F448">
        <v>209100</v>
      </c>
      <c r="G448" t="s">
        <v>19</v>
      </c>
      <c r="H448">
        <v>209100</v>
      </c>
      <c r="I448" t="s">
        <v>29</v>
      </c>
      <c r="J448">
        <v>100</v>
      </c>
      <c r="K448" t="s">
        <v>29</v>
      </c>
      <c r="L448" t="s">
        <v>16</v>
      </c>
    </row>
    <row r="449" spans="1:12">
      <c r="A449">
        <v>447</v>
      </c>
      <c r="B449">
        <v>2022</v>
      </c>
      <c r="C449" t="s">
        <v>17</v>
      </c>
      <c r="D449" t="s">
        <v>12</v>
      </c>
      <c r="E449" t="s">
        <v>43</v>
      </c>
      <c r="F449">
        <v>154600</v>
      </c>
      <c r="G449" t="s">
        <v>19</v>
      </c>
      <c r="H449">
        <v>154600</v>
      </c>
      <c r="I449" t="s">
        <v>29</v>
      </c>
      <c r="J449">
        <v>100</v>
      </c>
      <c r="K449" t="s">
        <v>29</v>
      </c>
      <c r="L449" t="s">
        <v>16</v>
      </c>
    </row>
    <row r="450" spans="1:12">
      <c r="A450">
        <v>448</v>
      </c>
      <c r="B450">
        <v>2022</v>
      </c>
      <c r="C450" t="s">
        <v>17</v>
      </c>
      <c r="D450" t="s">
        <v>12</v>
      </c>
      <c r="E450" t="s">
        <v>43</v>
      </c>
      <c r="F450">
        <v>180000</v>
      </c>
      <c r="G450" t="s">
        <v>19</v>
      </c>
      <c r="H450">
        <v>180000</v>
      </c>
      <c r="I450" t="s">
        <v>29</v>
      </c>
      <c r="J450">
        <v>100</v>
      </c>
      <c r="K450" t="s">
        <v>29</v>
      </c>
      <c r="L450" t="s">
        <v>25</v>
      </c>
    </row>
    <row r="451" spans="1:12">
      <c r="A451">
        <v>449</v>
      </c>
      <c r="B451">
        <v>2022</v>
      </c>
      <c r="C451" t="s">
        <v>30</v>
      </c>
      <c r="D451" t="s">
        <v>12</v>
      </c>
      <c r="E451" t="s">
        <v>69</v>
      </c>
      <c r="F451">
        <v>20000</v>
      </c>
      <c r="G451" t="s">
        <v>14</v>
      </c>
      <c r="H451">
        <v>21983</v>
      </c>
      <c r="I451" t="s">
        <v>47</v>
      </c>
      <c r="J451">
        <v>100</v>
      </c>
      <c r="K451" t="s">
        <v>47</v>
      </c>
      <c r="L451" t="s">
        <v>16</v>
      </c>
    </row>
    <row r="452" spans="1:12">
      <c r="A452">
        <v>450</v>
      </c>
      <c r="B452">
        <v>2022</v>
      </c>
      <c r="C452" t="s">
        <v>17</v>
      </c>
      <c r="D452" t="s">
        <v>12</v>
      </c>
      <c r="E452" t="s">
        <v>43</v>
      </c>
      <c r="F452">
        <v>80000</v>
      </c>
      <c r="G452" t="s">
        <v>19</v>
      </c>
      <c r="H452">
        <v>80000</v>
      </c>
      <c r="I452" t="s">
        <v>29</v>
      </c>
      <c r="J452">
        <v>100</v>
      </c>
      <c r="K452" t="s">
        <v>29</v>
      </c>
      <c r="L452" t="s">
        <v>25</v>
      </c>
    </row>
    <row r="453" spans="1:12">
      <c r="A453">
        <v>451</v>
      </c>
      <c r="B453">
        <v>2022</v>
      </c>
      <c r="C453" t="s">
        <v>11</v>
      </c>
      <c r="D453" t="s">
        <v>12</v>
      </c>
      <c r="E453" t="s">
        <v>98</v>
      </c>
      <c r="F453">
        <v>100000</v>
      </c>
      <c r="G453" t="s">
        <v>61</v>
      </c>
      <c r="H453">
        <v>78791</v>
      </c>
      <c r="I453" t="s">
        <v>62</v>
      </c>
      <c r="J453">
        <v>100</v>
      </c>
      <c r="K453" t="s">
        <v>62</v>
      </c>
      <c r="L453" t="s">
        <v>25</v>
      </c>
    </row>
    <row r="454" spans="1:12">
      <c r="A454">
        <v>452</v>
      </c>
      <c r="B454">
        <v>2022</v>
      </c>
      <c r="C454" t="s">
        <v>53</v>
      </c>
      <c r="D454" t="s">
        <v>12</v>
      </c>
      <c r="E454" t="s">
        <v>54</v>
      </c>
      <c r="F454">
        <v>250000</v>
      </c>
      <c r="G454" t="s">
        <v>61</v>
      </c>
      <c r="H454">
        <v>196979</v>
      </c>
      <c r="I454" t="s">
        <v>62</v>
      </c>
      <c r="J454">
        <v>50</v>
      </c>
      <c r="K454" t="s">
        <v>62</v>
      </c>
      <c r="L454" t="s">
        <v>16</v>
      </c>
    </row>
    <row r="455" spans="1:12">
      <c r="A455">
        <v>453</v>
      </c>
      <c r="B455">
        <v>2022</v>
      </c>
      <c r="C455" t="s">
        <v>11</v>
      </c>
      <c r="D455" t="s">
        <v>12</v>
      </c>
      <c r="E455" t="s">
        <v>28</v>
      </c>
      <c r="F455">
        <v>120000</v>
      </c>
      <c r="G455" t="s">
        <v>19</v>
      </c>
      <c r="H455">
        <v>120000</v>
      </c>
      <c r="I455" t="s">
        <v>29</v>
      </c>
      <c r="J455">
        <v>100</v>
      </c>
      <c r="K455" t="s">
        <v>29</v>
      </c>
      <c r="L455" t="s">
        <v>21</v>
      </c>
    </row>
    <row r="456" spans="1:12">
      <c r="A456">
        <v>454</v>
      </c>
      <c r="B456">
        <v>2022</v>
      </c>
      <c r="C456" t="s">
        <v>30</v>
      </c>
      <c r="D456" t="s">
        <v>12</v>
      </c>
      <c r="E456" t="s">
        <v>74</v>
      </c>
      <c r="F456">
        <v>125000</v>
      </c>
      <c r="G456" t="s">
        <v>19</v>
      </c>
      <c r="H456">
        <v>125000</v>
      </c>
      <c r="I456" t="s">
        <v>29</v>
      </c>
      <c r="J456">
        <v>0</v>
      </c>
      <c r="K456" t="s">
        <v>29</v>
      </c>
      <c r="L456" t="s">
        <v>25</v>
      </c>
    </row>
    <row r="457" spans="1:12">
      <c r="A457">
        <v>455</v>
      </c>
      <c r="B457">
        <v>2022</v>
      </c>
      <c r="C457" t="s">
        <v>11</v>
      </c>
      <c r="D457" t="s">
        <v>12</v>
      </c>
      <c r="E457" t="s">
        <v>135</v>
      </c>
      <c r="F457">
        <v>240000</v>
      </c>
      <c r="G457" t="s">
        <v>48</v>
      </c>
      <c r="H457">
        <v>37236</v>
      </c>
      <c r="I457" t="s">
        <v>29</v>
      </c>
      <c r="J457">
        <v>50</v>
      </c>
      <c r="K457" t="s">
        <v>29</v>
      </c>
      <c r="L457" t="s">
        <v>16</v>
      </c>
    </row>
    <row r="458" spans="1:12">
      <c r="A458">
        <v>456</v>
      </c>
      <c r="B458">
        <v>2022</v>
      </c>
      <c r="C458" t="s">
        <v>17</v>
      </c>
      <c r="D458" t="s">
        <v>12</v>
      </c>
      <c r="E458" t="s">
        <v>43</v>
      </c>
      <c r="F458">
        <v>105000</v>
      </c>
      <c r="G458" t="s">
        <v>19</v>
      </c>
      <c r="H458">
        <v>105000</v>
      </c>
      <c r="I458" t="s">
        <v>29</v>
      </c>
      <c r="J458">
        <v>100</v>
      </c>
      <c r="K458" t="s">
        <v>29</v>
      </c>
      <c r="L458" t="s">
        <v>25</v>
      </c>
    </row>
    <row r="459" spans="1:12">
      <c r="A459">
        <v>457</v>
      </c>
      <c r="B459">
        <v>2022</v>
      </c>
      <c r="C459" t="s">
        <v>17</v>
      </c>
      <c r="D459" t="s">
        <v>12</v>
      </c>
      <c r="E459" t="s">
        <v>136</v>
      </c>
      <c r="F459">
        <v>80000</v>
      </c>
      <c r="G459" t="s">
        <v>14</v>
      </c>
      <c r="H459">
        <v>87932</v>
      </c>
      <c r="I459" t="s">
        <v>15</v>
      </c>
      <c r="J459">
        <v>0</v>
      </c>
      <c r="K459" t="s">
        <v>15</v>
      </c>
      <c r="L459" t="s">
        <v>25</v>
      </c>
    </row>
    <row r="460" spans="1:12">
      <c r="A460">
        <v>458</v>
      </c>
      <c r="B460">
        <v>2022</v>
      </c>
      <c r="C460" t="s">
        <v>11</v>
      </c>
      <c r="D460" t="s">
        <v>12</v>
      </c>
      <c r="E460" t="s">
        <v>35</v>
      </c>
      <c r="F460">
        <v>1400000</v>
      </c>
      <c r="G460" t="s">
        <v>39</v>
      </c>
      <c r="H460">
        <v>18442</v>
      </c>
      <c r="I460" t="s">
        <v>40</v>
      </c>
      <c r="J460">
        <v>100</v>
      </c>
      <c r="K460" t="s">
        <v>40</v>
      </c>
      <c r="L460" t="s">
        <v>25</v>
      </c>
    </row>
    <row r="461" spans="1:12">
      <c r="A461">
        <v>459</v>
      </c>
      <c r="B461">
        <v>2022</v>
      </c>
      <c r="C461" t="s">
        <v>11</v>
      </c>
      <c r="D461" t="s">
        <v>12</v>
      </c>
      <c r="E461" t="s">
        <v>13</v>
      </c>
      <c r="F461">
        <v>2400000</v>
      </c>
      <c r="G461" t="s">
        <v>39</v>
      </c>
      <c r="H461">
        <v>31615</v>
      </c>
      <c r="I461" t="s">
        <v>40</v>
      </c>
      <c r="J461">
        <v>100</v>
      </c>
      <c r="K461" t="s">
        <v>40</v>
      </c>
      <c r="L461" t="s">
        <v>16</v>
      </c>
    </row>
    <row r="462" spans="1:12">
      <c r="A462">
        <v>460</v>
      </c>
      <c r="B462">
        <v>2022</v>
      </c>
      <c r="C462" t="s">
        <v>11</v>
      </c>
      <c r="D462" t="s">
        <v>12</v>
      </c>
      <c r="E462" t="s">
        <v>68</v>
      </c>
      <c r="F462">
        <v>53000</v>
      </c>
      <c r="G462" t="s">
        <v>14</v>
      </c>
      <c r="H462">
        <v>58255</v>
      </c>
      <c r="I462" t="s">
        <v>47</v>
      </c>
      <c r="J462">
        <v>50</v>
      </c>
      <c r="K462" t="s">
        <v>47</v>
      </c>
      <c r="L462" t="s">
        <v>16</v>
      </c>
    </row>
    <row r="463" spans="1:12">
      <c r="A463">
        <v>461</v>
      </c>
      <c r="B463">
        <v>2022</v>
      </c>
      <c r="C463" t="s">
        <v>30</v>
      </c>
      <c r="D463" t="s">
        <v>12</v>
      </c>
      <c r="E463" t="s">
        <v>92</v>
      </c>
      <c r="F463">
        <v>100000</v>
      </c>
      <c r="G463" t="s">
        <v>19</v>
      </c>
      <c r="H463">
        <v>100000</v>
      </c>
      <c r="I463" t="s">
        <v>29</v>
      </c>
      <c r="J463">
        <v>50</v>
      </c>
      <c r="K463" t="s">
        <v>29</v>
      </c>
      <c r="L463" t="s">
        <v>16</v>
      </c>
    </row>
    <row r="464" spans="1:12">
      <c r="A464">
        <v>462</v>
      </c>
      <c r="B464">
        <v>2022</v>
      </c>
      <c r="C464" t="s">
        <v>11</v>
      </c>
      <c r="D464" t="s">
        <v>47</v>
      </c>
      <c r="E464" t="s">
        <v>43</v>
      </c>
      <c r="F464">
        <v>50000</v>
      </c>
      <c r="G464" t="s">
        <v>14</v>
      </c>
      <c r="H464">
        <v>54957</v>
      </c>
      <c r="I464" t="s">
        <v>15</v>
      </c>
      <c r="J464">
        <v>50</v>
      </c>
      <c r="K464" t="s">
        <v>15</v>
      </c>
      <c r="L464" t="s">
        <v>16</v>
      </c>
    </row>
    <row r="465" spans="1:12">
      <c r="A465">
        <v>463</v>
      </c>
      <c r="B465">
        <v>2022</v>
      </c>
      <c r="C465" t="s">
        <v>30</v>
      </c>
      <c r="D465" t="s">
        <v>12</v>
      </c>
      <c r="E465" t="s">
        <v>13</v>
      </c>
      <c r="F465">
        <v>1400000</v>
      </c>
      <c r="G465" t="s">
        <v>39</v>
      </c>
      <c r="H465">
        <v>18442</v>
      </c>
      <c r="I465" t="s">
        <v>40</v>
      </c>
      <c r="J465">
        <v>100</v>
      </c>
      <c r="K465" t="s">
        <v>40</v>
      </c>
      <c r="L465" t="s">
        <v>25</v>
      </c>
    </row>
    <row r="466" spans="1:12">
      <c r="A466">
        <v>464</v>
      </c>
      <c r="B466">
        <v>2022</v>
      </c>
      <c r="C466" t="s">
        <v>17</v>
      </c>
      <c r="D466" t="s">
        <v>12</v>
      </c>
      <c r="E466" t="s">
        <v>76</v>
      </c>
      <c r="F466">
        <v>148000</v>
      </c>
      <c r="G466" t="s">
        <v>14</v>
      </c>
      <c r="H466">
        <v>162674</v>
      </c>
      <c r="I466" t="s">
        <v>15</v>
      </c>
      <c r="J466">
        <v>100</v>
      </c>
      <c r="K466" t="s">
        <v>15</v>
      </c>
      <c r="L466" t="s">
        <v>25</v>
      </c>
    </row>
    <row r="467" spans="1:12">
      <c r="A467">
        <v>465</v>
      </c>
      <c r="B467">
        <v>2022</v>
      </c>
      <c r="C467" t="s">
        <v>30</v>
      </c>
      <c r="D467" t="s">
        <v>12</v>
      </c>
      <c r="E467" t="s">
        <v>43</v>
      </c>
      <c r="F467">
        <v>120000</v>
      </c>
      <c r="G467" t="s">
        <v>19</v>
      </c>
      <c r="H467">
        <v>120000</v>
      </c>
      <c r="I467" t="s">
        <v>29</v>
      </c>
      <c r="J467">
        <v>100</v>
      </c>
      <c r="K467" t="s">
        <v>29</v>
      </c>
      <c r="L467" t="s">
        <v>25</v>
      </c>
    </row>
    <row r="468" spans="1:12">
      <c r="A468">
        <v>466</v>
      </c>
      <c r="B468">
        <v>2022</v>
      </c>
      <c r="C468" t="s">
        <v>17</v>
      </c>
      <c r="D468" t="s">
        <v>12</v>
      </c>
      <c r="E468" t="s">
        <v>55</v>
      </c>
      <c r="F468">
        <v>144000</v>
      </c>
      <c r="G468" t="s">
        <v>19</v>
      </c>
      <c r="H468">
        <v>144000</v>
      </c>
      <c r="I468" t="s">
        <v>29</v>
      </c>
      <c r="J468">
        <v>50</v>
      </c>
      <c r="K468" t="s">
        <v>29</v>
      </c>
      <c r="L468" t="s">
        <v>16</v>
      </c>
    </row>
    <row r="469" spans="1:12">
      <c r="A469">
        <v>467</v>
      </c>
      <c r="B469">
        <v>2022</v>
      </c>
      <c r="C469" t="s">
        <v>17</v>
      </c>
      <c r="D469" t="s">
        <v>12</v>
      </c>
      <c r="E469" t="s">
        <v>13</v>
      </c>
      <c r="F469">
        <v>104890</v>
      </c>
      <c r="G469" t="s">
        <v>19</v>
      </c>
      <c r="H469">
        <v>104890</v>
      </c>
      <c r="I469" t="s">
        <v>29</v>
      </c>
      <c r="J469">
        <v>100</v>
      </c>
      <c r="K469" t="s">
        <v>29</v>
      </c>
      <c r="L469" t="s">
        <v>25</v>
      </c>
    </row>
    <row r="470" spans="1:12">
      <c r="A470">
        <v>468</v>
      </c>
      <c r="B470">
        <v>2022</v>
      </c>
      <c r="C470" t="s">
        <v>17</v>
      </c>
      <c r="D470" t="s">
        <v>12</v>
      </c>
      <c r="E470" t="s">
        <v>43</v>
      </c>
      <c r="F470">
        <v>100000</v>
      </c>
      <c r="G470" t="s">
        <v>19</v>
      </c>
      <c r="H470">
        <v>100000</v>
      </c>
      <c r="I470" t="s">
        <v>29</v>
      </c>
      <c r="J470">
        <v>100</v>
      </c>
      <c r="K470" t="s">
        <v>29</v>
      </c>
      <c r="L470" t="s">
        <v>25</v>
      </c>
    </row>
    <row r="471" spans="1:12">
      <c r="A471">
        <v>469</v>
      </c>
      <c r="B471">
        <v>2022</v>
      </c>
      <c r="C471" t="s">
        <v>17</v>
      </c>
      <c r="D471" t="s">
        <v>12</v>
      </c>
      <c r="E471" t="s">
        <v>13</v>
      </c>
      <c r="F471">
        <v>140000</v>
      </c>
      <c r="G471" t="s">
        <v>19</v>
      </c>
      <c r="H471">
        <v>140000</v>
      </c>
      <c r="I471" t="s">
        <v>29</v>
      </c>
      <c r="J471">
        <v>100</v>
      </c>
      <c r="K471" t="s">
        <v>29</v>
      </c>
      <c r="L471" t="s">
        <v>25</v>
      </c>
    </row>
    <row r="472" spans="1:12">
      <c r="A472">
        <v>470</v>
      </c>
      <c r="B472">
        <v>2022</v>
      </c>
      <c r="C472" t="s">
        <v>11</v>
      </c>
      <c r="D472" t="s">
        <v>12</v>
      </c>
      <c r="E472" t="s">
        <v>31</v>
      </c>
      <c r="F472">
        <v>135000</v>
      </c>
      <c r="G472" t="s">
        <v>19</v>
      </c>
      <c r="H472">
        <v>135000</v>
      </c>
      <c r="I472" t="s">
        <v>29</v>
      </c>
      <c r="J472">
        <v>100</v>
      </c>
      <c r="K472" t="s">
        <v>29</v>
      </c>
      <c r="L472" t="s">
        <v>25</v>
      </c>
    </row>
    <row r="473" spans="1:12">
      <c r="A473">
        <v>471</v>
      </c>
      <c r="B473">
        <v>2022</v>
      </c>
      <c r="C473" t="s">
        <v>11</v>
      </c>
      <c r="D473" t="s">
        <v>12</v>
      </c>
      <c r="E473" t="s">
        <v>31</v>
      </c>
      <c r="F473">
        <v>50000</v>
      </c>
      <c r="G473" t="s">
        <v>19</v>
      </c>
      <c r="H473">
        <v>50000</v>
      </c>
      <c r="I473" t="s">
        <v>29</v>
      </c>
      <c r="J473">
        <v>100</v>
      </c>
      <c r="K473" t="s">
        <v>29</v>
      </c>
      <c r="L473" t="s">
        <v>25</v>
      </c>
    </row>
    <row r="474" spans="1:12">
      <c r="A474">
        <v>472</v>
      </c>
      <c r="B474">
        <v>2022</v>
      </c>
      <c r="C474" t="s">
        <v>17</v>
      </c>
      <c r="D474" t="s">
        <v>12</v>
      </c>
      <c r="E474" t="s">
        <v>13</v>
      </c>
      <c r="F474">
        <v>220000</v>
      </c>
      <c r="G474" t="s">
        <v>19</v>
      </c>
      <c r="H474">
        <v>220000</v>
      </c>
      <c r="I474" t="s">
        <v>29</v>
      </c>
      <c r="J474">
        <v>100</v>
      </c>
      <c r="K474" t="s">
        <v>29</v>
      </c>
      <c r="L474" t="s">
        <v>25</v>
      </c>
    </row>
    <row r="475" spans="1:12">
      <c r="A475">
        <v>473</v>
      </c>
      <c r="B475">
        <v>2022</v>
      </c>
      <c r="C475" t="s">
        <v>17</v>
      </c>
      <c r="D475" t="s">
        <v>12</v>
      </c>
      <c r="E475" t="s">
        <v>13</v>
      </c>
      <c r="F475">
        <v>140000</v>
      </c>
      <c r="G475" t="s">
        <v>19</v>
      </c>
      <c r="H475">
        <v>140000</v>
      </c>
      <c r="I475" t="s">
        <v>29</v>
      </c>
      <c r="J475">
        <v>100</v>
      </c>
      <c r="K475" t="s">
        <v>29</v>
      </c>
      <c r="L475" t="s">
        <v>25</v>
      </c>
    </row>
    <row r="476" spans="1:12">
      <c r="A476">
        <v>474</v>
      </c>
      <c r="B476">
        <v>2022</v>
      </c>
      <c r="C476" t="s">
        <v>11</v>
      </c>
      <c r="D476" t="s">
        <v>12</v>
      </c>
      <c r="E476" t="s">
        <v>13</v>
      </c>
      <c r="F476">
        <v>140000</v>
      </c>
      <c r="G476" t="s">
        <v>23</v>
      </c>
      <c r="H476">
        <v>183228</v>
      </c>
      <c r="I476" t="s">
        <v>24</v>
      </c>
      <c r="J476">
        <v>0</v>
      </c>
      <c r="K476" t="s">
        <v>24</v>
      </c>
      <c r="L476" t="s">
        <v>25</v>
      </c>
    </row>
    <row r="477" spans="1:12">
      <c r="A477">
        <v>475</v>
      </c>
      <c r="B477">
        <v>2022</v>
      </c>
      <c r="C477" t="s">
        <v>11</v>
      </c>
      <c r="D477" t="s">
        <v>12</v>
      </c>
      <c r="E477" t="s">
        <v>13</v>
      </c>
      <c r="F477">
        <v>70000</v>
      </c>
      <c r="G477" t="s">
        <v>23</v>
      </c>
      <c r="H477">
        <v>91614</v>
      </c>
      <c r="I477" t="s">
        <v>24</v>
      </c>
      <c r="J477">
        <v>0</v>
      </c>
      <c r="K477" t="s">
        <v>24</v>
      </c>
      <c r="L477" t="s">
        <v>25</v>
      </c>
    </row>
    <row r="478" spans="1:12">
      <c r="A478">
        <v>476</v>
      </c>
      <c r="B478">
        <v>2022</v>
      </c>
      <c r="C478" t="s">
        <v>17</v>
      </c>
      <c r="D478" t="s">
        <v>12</v>
      </c>
      <c r="E478" t="s">
        <v>13</v>
      </c>
      <c r="F478">
        <v>185100</v>
      </c>
      <c r="G478" t="s">
        <v>19</v>
      </c>
      <c r="H478">
        <v>185100</v>
      </c>
      <c r="I478" t="s">
        <v>29</v>
      </c>
      <c r="J478">
        <v>100</v>
      </c>
      <c r="K478" t="s">
        <v>29</v>
      </c>
      <c r="L478" t="s">
        <v>25</v>
      </c>
    </row>
    <row r="479" spans="1:12">
      <c r="A479">
        <v>477</v>
      </c>
      <c r="B479">
        <v>2022</v>
      </c>
      <c r="C479" t="s">
        <v>17</v>
      </c>
      <c r="D479" t="s">
        <v>12</v>
      </c>
      <c r="E479" t="s">
        <v>28</v>
      </c>
      <c r="F479">
        <v>220000</v>
      </c>
      <c r="G479" t="s">
        <v>19</v>
      </c>
      <c r="H479">
        <v>220000</v>
      </c>
      <c r="I479" t="s">
        <v>29</v>
      </c>
      <c r="J479">
        <v>100</v>
      </c>
      <c r="K479" t="s">
        <v>29</v>
      </c>
      <c r="L479" t="s">
        <v>25</v>
      </c>
    </row>
    <row r="480" spans="1:12">
      <c r="A480">
        <v>478</v>
      </c>
      <c r="B480">
        <v>2022</v>
      </c>
      <c r="C480" t="s">
        <v>11</v>
      </c>
      <c r="D480" t="s">
        <v>12</v>
      </c>
      <c r="E480" t="s">
        <v>13</v>
      </c>
      <c r="F480">
        <v>200000</v>
      </c>
      <c r="G480" t="s">
        <v>19</v>
      </c>
      <c r="H480">
        <v>200000</v>
      </c>
      <c r="I480" t="s">
        <v>29</v>
      </c>
      <c r="J480">
        <v>100</v>
      </c>
      <c r="K480" t="s">
        <v>29</v>
      </c>
      <c r="L480" t="s">
        <v>25</v>
      </c>
    </row>
    <row r="481" spans="1:12">
      <c r="A481">
        <v>479</v>
      </c>
      <c r="B481">
        <v>2022</v>
      </c>
      <c r="C481" t="s">
        <v>11</v>
      </c>
      <c r="D481" t="s">
        <v>12</v>
      </c>
      <c r="E481" t="s">
        <v>13</v>
      </c>
      <c r="F481">
        <v>120000</v>
      </c>
      <c r="G481" t="s">
        <v>19</v>
      </c>
      <c r="H481">
        <v>120000</v>
      </c>
      <c r="I481" t="s">
        <v>29</v>
      </c>
      <c r="J481">
        <v>100</v>
      </c>
      <c r="K481" t="s">
        <v>29</v>
      </c>
      <c r="L481" t="s">
        <v>25</v>
      </c>
    </row>
    <row r="482" spans="1:12">
      <c r="A482">
        <v>480</v>
      </c>
      <c r="B482">
        <v>2022</v>
      </c>
      <c r="C482" t="s">
        <v>17</v>
      </c>
      <c r="D482" t="s">
        <v>12</v>
      </c>
      <c r="E482" t="s">
        <v>28</v>
      </c>
      <c r="F482">
        <v>120000</v>
      </c>
      <c r="G482" t="s">
        <v>19</v>
      </c>
      <c r="H482">
        <v>120000</v>
      </c>
      <c r="I482" t="s">
        <v>52</v>
      </c>
      <c r="J482">
        <v>100</v>
      </c>
      <c r="K482" t="s">
        <v>52</v>
      </c>
      <c r="L482" t="s">
        <v>21</v>
      </c>
    </row>
    <row r="483" spans="1:12">
      <c r="A483">
        <v>481</v>
      </c>
      <c r="B483">
        <v>2022</v>
      </c>
      <c r="C483" t="s">
        <v>17</v>
      </c>
      <c r="D483" t="s">
        <v>12</v>
      </c>
      <c r="E483" t="s">
        <v>28</v>
      </c>
      <c r="F483">
        <v>65000</v>
      </c>
      <c r="G483" t="s">
        <v>19</v>
      </c>
      <c r="H483">
        <v>65000</v>
      </c>
      <c r="I483" t="s">
        <v>52</v>
      </c>
      <c r="J483">
        <v>100</v>
      </c>
      <c r="K483" t="s">
        <v>52</v>
      </c>
      <c r="L483" t="s">
        <v>21</v>
      </c>
    </row>
    <row r="484" spans="1:12">
      <c r="A484">
        <v>482</v>
      </c>
      <c r="B484">
        <v>2022</v>
      </c>
      <c r="C484" t="s">
        <v>53</v>
      </c>
      <c r="D484" t="s">
        <v>12</v>
      </c>
      <c r="E484" t="s">
        <v>43</v>
      </c>
      <c r="F484">
        <v>324000</v>
      </c>
      <c r="G484" t="s">
        <v>19</v>
      </c>
      <c r="H484">
        <v>324000</v>
      </c>
      <c r="I484" t="s">
        <v>29</v>
      </c>
      <c r="J484">
        <v>100</v>
      </c>
      <c r="K484" t="s">
        <v>29</v>
      </c>
      <c r="L484" t="s">
        <v>25</v>
      </c>
    </row>
    <row r="485" spans="1:12">
      <c r="A485">
        <v>483</v>
      </c>
      <c r="B485">
        <v>2022</v>
      </c>
      <c r="C485" t="s">
        <v>53</v>
      </c>
      <c r="D485" t="s">
        <v>12</v>
      </c>
      <c r="E485" t="s">
        <v>43</v>
      </c>
      <c r="F485">
        <v>216000</v>
      </c>
      <c r="G485" t="s">
        <v>19</v>
      </c>
      <c r="H485">
        <v>216000</v>
      </c>
      <c r="I485" t="s">
        <v>29</v>
      </c>
      <c r="J485">
        <v>100</v>
      </c>
      <c r="K485" t="s">
        <v>29</v>
      </c>
      <c r="L485" t="s">
        <v>25</v>
      </c>
    </row>
    <row r="486" spans="1:12">
      <c r="A486">
        <v>484</v>
      </c>
      <c r="B486">
        <v>2022</v>
      </c>
      <c r="C486" t="s">
        <v>17</v>
      </c>
      <c r="D486" t="s">
        <v>12</v>
      </c>
      <c r="E486" t="s">
        <v>43</v>
      </c>
      <c r="F486">
        <v>210000</v>
      </c>
      <c r="G486" t="s">
        <v>19</v>
      </c>
      <c r="H486">
        <v>210000</v>
      </c>
      <c r="I486" t="s">
        <v>29</v>
      </c>
      <c r="J486">
        <v>100</v>
      </c>
      <c r="K486" t="s">
        <v>29</v>
      </c>
      <c r="L486" t="s">
        <v>25</v>
      </c>
    </row>
    <row r="487" spans="1:12">
      <c r="A487">
        <v>485</v>
      </c>
      <c r="B487">
        <v>2022</v>
      </c>
      <c r="C487" t="s">
        <v>17</v>
      </c>
      <c r="D487" t="s">
        <v>12</v>
      </c>
      <c r="E487" t="s">
        <v>28</v>
      </c>
      <c r="F487">
        <v>120000</v>
      </c>
      <c r="G487" t="s">
        <v>19</v>
      </c>
      <c r="H487">
        <v>120000</v>
      </c>
      <c r="I487" t="s">
        <v>29</v>
      </c>
      <c r="J487">
        <v>100</v>
      </c>
      <c r="K487" t="s">
        <v>29</v>
      </c>
      <c r="L487" t="s">
        <v>25</v>
      </c>
    </row>
    <row r="488" spans="1:12">
      <c r="A488">
        <v>486</v>
      </c>
      <c r="B488">
        <v>2022</v>
      </c>
      <c r="C488" t="s">
        <v>17</v>
      </c>
      <c r="D488" t="s">
        <v>12</v>
      </c>
      <c r="E488" t="s">
        <v>13</v>
      </c>
      <c r="F488">
        <v>230000</v>
      </c>
      <c r="G488" t="s">
        <v>19</v>
      </c>
      <c r="H488">
        <v>230000</v>
      </c>
      <c r="I488" t="s">
        <v>29</v>
      </c>
      <c r="J488">
        <v>100</v>
      </c>
      <c r="K488" t="s">
        <v>29</v>
      </c>
      <c r="L488" t="s">
        <v>25</v>
      </c>
    </row>
    <row r="489" spans="1:12">
      <c r="A489">
        <v>487</v>
      </c>
      <c r="B489">
        <v>2022</v>
      </c>
      <c r="C489" t="s">
        <v>30</v>
      </c>
      <c r="D489" t="s">
        <v>47</v>
      </c>
      <c r="E489" t="s">
        <v>13</v>
      </c>
      <c r="F489">
        <v>100000</v>
      </c>
      <c r="G489" t="s">
        <v>19</v>
      </c>
      <c r="H489">
        <v>100000</v>
      </c>
      <c r="I489" t="s">
        <v>137</v>
      </c>
      <c r="J489">
        <v>50</v>
      </c>
      <c r="K489" t="s">
        <v>137</v>
      </c>
      <c r="L489" t="s">
        <v>25</v>
      </c>
    </row>
    <row r="490" spans="1:12">
      <c r="A490">
        <v>488</v>
      </c>
      <c r="B490">
        <v>2022</v>
      </c>
      <c r="C490" t="s">
        <v>11</v>
      </c>
      <c r="D490" t="s">
        <v>73</v>
      </c>
      <c r="E490" t="s">
        <v>13</v>
      </c>
      <c r="F490">
        <v>100000</v>
      </c>
      <c r="G490" t="s">
        <v>19</v>
      </c>
      <c r="H490">
        <v>100000</v>
      </c>
      <c r="I490" t="s">
        <v>62</v>
      </c>
      <c r="J490">
        <v>100</v>
      </c>
      <c r="K490" t="s">
        <v>29</v>
      </c>
      <c r="L490" t="s">
        <v>25</v>
      </c>
    </row>
    <row r="491" spans="1:12">
      <c r="A491">
        <v>489</v>
      </c>
      <c r="B491">
        <v>2022</v>
      </c>
      <c r="C491" t="s">
        <v>30</v>
      </c>
      <c r="D491" t="s">
        <v>59</v>
      </c>
      <c r="E491" t="s">
        <v>100</v>
      </c>
      <c r="F491">
        <v>29000</v>
      </c>
      <c r="G491" t="s">
        <v>14</v>
      </c>
      <c r="H491">
        <v>31875</v>
      </c>
      <c r="I491" t="s">
        <v>138</v>
      </c>
      <c r="J491">
        <v>100</v>
      </c>
      <c r="K491" t="s">
        <v>130</v>
      </c>
      <c r="L491" t="s">
        <v>25</v>
      </c>
    </row>
    <row r="492" spans="1:12">
      <c r="A492">
        <v>490</v>
      </c>
      <c r="B492">
        <v>2022</v>
      </c>
      <c r="C492" t="s">
        <v>17</v>
      </c>
      <c r="D492" t="s">
        <v>12</v>
      </c>
      <c r="E492" t="s">
        <v>81</v>
      </c>
      <c r="F492">
        <v>200000</v>
      </c>
      <c r="G492" t="s">
        <v>19</v>
      </c>
      <c r="H492">
        <v>200000</v>
      </c>
      <c r="I492" t="s">
        <v>139</v>
      </c>
      <c r="J492">
        <v>100</v>
      </c>
      <c r="K492" t="s">
        <v>29</v>
      </c>
      <c r="L492" t="s">
        <v>25</v>
      </c>
    </row>
    <row r="493" spans="1:12">
      <c r="A493">
        <v>491</v>
      </c>
      <c r="B493">
        <v>2022</v>
      </c>
      <c r="C493" t="s">
        <v>11</v>
      </c>
      <c r="D493" t="s">
        <v>12</v>
      </c>
      <c r="E493" t="s">
        <v>124</v>
      </c>
      <c r="F493">
        <v>75000</v>
      </c>
      <c r="G493" t="s">
        <v>19</v>
      </c>
      <c r="H493">
        <v>75000</v>
      </c>
      <c r="I493" t="s">
        <v>62</v>
      </c>
      <c r="J493">
        <v>100</v>
      </c>
      <c r="K493" t="s">
        <v>62</v>
      </c>
      <c r="L493" t="s">
        <v>21</v>
      </c>
    </row>
    <row r="494" spans="1:12">
      <c r="A494">
        <v>492</v>
      </c>
      <c r="B494">
        <v>2022</v>
      </c>
      <c r="C494" t="s">
        <v>11</v>
      </c>
      <c r="D494" t="s">
        <v>12</v>
      </c>
      <c r="E494" t="s">
        <v>13</v>
      </c>
      <c r="F494">
        <v>150000</v>
      </c>
      <c r="G494" t="s">
        <v>85</v>
      </c>
      <c r="H494">
        <v>35590</v>
      </c>
      <c r="I494" t="s">
        <v>45</v>
      </c>
      <c r="J494">
        <v>100</v>
      </c>
      <c r="K494" t="s">
        <v>45</v>
      </c>
      <c r="L494" t="s">
        <v>16</v>
      </c>
    </row>
    <row r="495" spans="1:12">
      <c r="A495">
        <v>493</v>
      </c>
      <c r="B495">
        <v>2022</v>
      </c>
      <c r="C495" t="s">
        <v>17</v>
      </c>
      <c r="D495" t="s">
        <v>12</v>
      </c>
      <c r="E495" t="s">
        <v>98</v>
      </c>
      <c r="F495">
        <v>100000</v>
      </c>
      <c r="G495" t="s">
        <v>61</v>
      </c>
      <c r="H495">
        <v>78791</v>
      </c>
      <c r="I495" t="s">
        <v>62</v>
      </c>
      <c r="J495">
        <v>100</v>
      </c>
      <c r="K495" t="s">
        <v>62</v>
      </c>
      <c r="L495" t="s">
        <v>25</v>
      </c>
    </row>
    <row r="496" spans="1:12">
      <c r="A496">
        <v>494</v>
      </c>
      <c r="B496">
        <v>2022</v>
      </c>
      <c r="C496" t="s">
        <v>17</v>
      </c>
      <c r="D496" t="s">
        <v>12</v>
      </c>
      <c r="E496" t="s">
        <v>13</v>
      </c>
      <c r="F496">
        <v>100000</v>
      </c>
      <c r="G496" t="s">
        <v>19</v>
      </c>
      <c r="H496">
        <v>100000</v>
      </c>
      <c r="I496" t="s">
        <v>91</v>
      </c>
      <c r="J496">
        <v>100</v>
      </c>
      <c r="K496" t="s">
        <v>29</v>
      </c>
      <c r="L496" t="s">
        <v>25</v>
      </c>
    </row>
    <row r="497" spans="1:12">
      <c r="A497">
        <v>495</v>
      </c>
      <c r="B497">
        <v>2022</v>
      </c>
      <c r="C497" t="s">
        <v>11</v>
      </c>
      <c r="D497" t="s">
        <v>12</v>
      </c>
      <c r="E497" t="s">
        <v>18</v>
      </c>
      <c r="F497">
        <v>153000</v>
      </c>
      <c r="G497" t="s">
        <v>19</v>
      </c>
      <c r="H497">
        <v>153000</v>
      </c>
      <c r="I497" t="s">
        <v>29</v>
      </c>
      <c r="J497">
        <v>50</v>
      </c>
      <c r="K497" t="s">
        <v>29</v>
      </c>
      <c r="L497" t="s">
        <v>25</v>
      </c>
    </row>
    <row r="498" spans="1:12">
      <c r="A498">
        <v>496</v>
      </c>
      <c r="B498">
        <v>2022</v>
      </c>
      <c r="C498" t="s">
        <v>30</v>
      </c>
      <c r="D498" t="s">
        <v>12</v>
      </c>
      <c r="E498" t="s">
        <v>43</v>
      </c>
      <c r="F498">
        <v>52800</v>
      </c>
      <c r="G498" t="s">
        <v>14</v>
      </c>
      <c r="H498">
        <v>58035</v>
      </c>
      <c r="I498" t="s">
        <v>42</v>
      </c>
      <c r="J498">
        <v>100</v>
      </c>
      <c r="K498" t="s">
        <v>15</v>
      </c>
      <c r="L498" t="s">
        <v>25</v>
      </c>
    </row>
    <row r="499" spans="1:12">
      <c r="A499">
        <v>497</v>
      </c>
      <c r="B499">
        <v>2022</v>
      </c>
      <c r="C499" t="s">
        <v>17</v>
      </c>
      <c r="D499" t="s">
        <v>12</v>
      </c>
      <c r="E499" t="s">
        <v>13</v>
      </c>
      <c r="F499">
        <v>165000</v>
      </c>
      <c r="G499" t="s">
        <v>19</v>
      </c>
      <c r="H499">
        <v>165000</v>
      </c>
      <c r="I499" t="s">
        <v>29</v>
      </c>
      <c r="J499">
        <v>100</v>
      </c>
      <c r="K499" t="s">
        <v>29</v>
      </c>
      <c r="L499" t="s">
        <v>25</v>
      </c>
    </row>
    <row r="500" spans="1:12">
      <c r="A500">
        <v>498</v>
      </c>
      <c r="B500">
        <v>2022</v>
      </c>
      <c r="C500" t="s">
        <v>17</v>
      </c>
      <c r="D500" t="s">
        <v>12</v>
      </c>
      <c r="E500" t="s">
        <v>55</v>
      </c>
      <c r="F500">
        <v>85000</v>
      </c>
      <c r="G500" t="s">
        <v>14</v>
      </c>
      <c r="H500">
        <v>93427</v>
      </c>
      <c r="I500" t="s">
        <v>38</v>
      </c>
      <c r="J500">
        <v>50</v>
      </c>
      <c r="K500" t="s">
        <v>38</v>
      </c>
      <c r="L500" t="s">
        <v>16</v>
      </c>
    </row>
    <row r="501" spans="1:12">
      <c r="A501">
        <v>499</v>
      </c>
      <c r="B501">
        <v>2022</v>
      </c>
      <c r="C501" t="s">
        <v>30</v>
      </c>
      <c r="D501" t="s">
        <v>12</v>
      </c>
      <c r="E501" t="s">
        <v>13</v>
      </c>
      <c r="F501">
        <v>66500</v>
      </c>
      <c r="G501" t="s">
        <v>61</v>
      </c>
      <c r="H501">
        <v>52396</v>
      </c>
      <c r="I501" t="s">
        <v>62</v>
      </c>
      <c r="J501">
        <v>100</v>
      </c>
      <c r="K501" t="s">
        <v>62</v>
      </c>
      <c r="L501" t="s">
        <v>16</v>
      </c>
    </row>
    <row r="502" spans="1:12">
      <c r="A502">
        <v>500</v>
      </c>
      <c r="B502">
        <v>2022</v>
      </c>
      <c r="C502" t="s">
        <v>17</v>
      </c>
      <c r="D502" t="s">
        <v>12</v>
      </c>
      <c r="E502" t="s">
        <v>28</v>
      </c>
      <c r="F502">
        <v>57000</v>
      </c>
      <c r="G502" t="s">
        <v>14</v>
      </c>
      <c r="H502">
        <v>62651</v>
      </c>
      <c r="I502" t="s">
        <v>56</v>
      </c>
      <c r="J502">
        <v>100</v>
      </c>
      <c r="K502" t="s">
        <v>56</v>
      </c>
      <c r="L502" t="s">
        <v>16</v>
      </c>
    </row>
    <row r="503" spans="1:12">
      <c r="A503">
        <v>501</v>
      </c>
      <c r="B503">
        <v>2022</v>
      </c>
      <c r="C503" t="s">
        <v>11</v>
      </c>
      <c r="D503" t="s">
        <v>12</v>
      </c>
      <c r="E503" t="s">
        <v>81</v>
      </c>
      <c r="F503">
        <v>30000</v>
      </c>
      <c r="G503" t="s">
        <v>14</v>
      </c>
      <c r="H503">
        <v>32974</v>
      </c>
      <c r="I503" t="s">
        <v>140</v>
      </c>
      <c r="J503">
        <v>100</v>
      </c>
      <c r="K503" t="s">
        <v>140</v>
      </c>
      <c r="L503" t="s">
        <v>21</v>
      </c>
    </row>
    <row r="504" spans="1:12">
      <c r="A504">
        <v>502</v>
      </c>
      <c r="B504">
        <v>2022</v>
      </c>
      <c r="C504" t="s">
        <v>30</v>
      </c>
      <c r="D504" t="s">
        <v>12</v>
      </c>
      <c r="E504" t="s">
        <v>13</v>
      </c>
      <c r="F504">
        <v>40000</v>
      </c>
      <c r="G504" t="s">
        <v>19</v>
      </c>
      <c r="H504">
        <v>40000</v>
      </c>
      <c r="I504" t="s">
        <v>20</v>
      </c>
      <c r="J504">
        <v>100</v>
      </c>
      <c r="K504" t="s">
        <v>139</v>
      </c>
      <c r="L504" t="s">
        <v>16</v>
      </c>
    </row>
    <row r="505" spans="1:12">
      <c r="A505">
        <v>503</v>
      </c>
      <c r="B505">
        <v>2022</v>
      </c>
      <c r="C505" t="s">
        <v>11</v>
      </c>
      <c r="D505" t="s">
        <v>12</v>
      </c>
      <c r="E505" t="s">
        <v>28</v>
      </c>
      <c r="F505">
        <v>121000</v>
      </c>
      <c r="G505" t="s">
        <v>141</v>
      </c>
      <c r="H505">
        <v>87425</v>
      </c>
      <c r="I505" t="s">
        <v>142</v>
      </c>
      <c r="J505">
        <v>100</v>
      </c>
      <c r="K505" t="s">
        <v>142</v>
      </c>
      <c r="L505" t="s">
        <v>16</v>
      </c>
    </row>
    <row r="506" spans="1:12">
      <c r="A506">
        <v>504</v>
      </c>
      <c r="B506">
        <v>2022</v>
      </c>
      <c r="C506" t="s">
        <v>17</v>
      </c>
      <c r="D506" t="s">
        <v>12</v>
      </c>
      <c r="E506" t="s">
        <v>43</v>
      </c>
      <c r="F506">
        <v>115000</v>
      </c>
      <c r="G506" t="s">
        <v>19</v>
      </c>
      <c r="H506">
        <v>115000</v>
      </c>
      <c r="I506" t="s">
        <v>29</v>
      </c>
      <c r="J506">
        <v>100</v>
      </c>
      <c r="K506" t="s">
        <v>29</v>
      </c>
      <c r="L506" t="s">
        <v>25</v>
      </c>
    </row>
    <row r="507" spans="1:12">
      <c r="A507">
        <v>505</v>
      </c>
      <c r="B507">
        <v>2022</v>
      </c>
      <c r="C507" t="s">
        <v>30</v>
      </c>
      <c r="D507" t="s">
        <v>12</v>
      </c>
      <c r="E507" t="s">
        <v>13</v>
      </c>
      <c r="F507">
        <v>120000</v>
      </c>
      <c r="G507" t="s">
        <v>141</v>
      </c>
      <c r="H507">
        <v>86703</v>
      </c>
      <c r="I507" t="s">
        <v>142</v>
      </c>
      <c r="J507">
        <v>50</v>
      </c>
      <c r="K507" t="s">
        <v>142</v>
      </c>
      <c r="L507" t="s">
        <v>25</v>
      </c>
    </row>
    <row r="508" spans="1:12">
      <c r="A508">
        <v>506</v>
      </c>
      <c r="B508">
        <v>2022</v>
      </c>
      <c r="C508" t="s">
        <v>11</v>
      </c>
      <c r="D508" t="s">
        <v>12</v>
      </c>
      <c r="E508" t="s">
        <v>100</v>
      </c>
      <c r="F508">
        <v>75000</v>
      </c>
      <c r="G508" t="s">
        <v>19</v>
      </c>
      <c r="H508">
        <v>75000</v>
      </c>
      <c r="I508" t="s">
        <v>143</v>
      </c>
      <c r="J508">
        <v>100</v>
      </c>
      <c r="K508" t="s">
        <v>29</v>
      </c>
      <c r="L508" t="s">
        <v>16</v>
      </c>
    </row>
    <row r="509" spans="1:12">
      <c r="A509">
        <v>507</v>
      </c>
      <c r="B509">
        <v>2022</v>
      </c>
      <c r="C509" t="s">
        <v>11</v>
      </c>
      <c r="D509" t="s">
        <v>12</v>
      </c>
      <c r="E509" t="s">
        <v>55</v>
      </c>
      <c r="F509">
        <v>59000</v>
      </c>
      <c r="G509" t="s">
        <v>14</v>
      </c>
      <c r="H509">
        <v>64849</v>
      </c>
      <c r="I509" t="s">
        <v>64</v>
      </c>
      <c r="J509">
        <v>0</v>
      </c>
      <c r="K509" t="s">
        <v>64</v>
      </c>
      <c r="L509" t="s">
        <v>16</v>
      </c>
    </row>
    <row r="510" spans="1:12">
      <c r="A510">
        <v>508</v>
      </c>
      <c r="B510">
        <v>2022</v>
      </c>
      <c r="C510" t="s">
        <v>30</v>
      </c>
      <c r="D510" t="s">
        <v>12</v>
      </c>
      <c r="E510" t="s">
        <v>55</v>
      </c>
      <c r="F510">
        <v>120000</v>
      </c>
      <c r="G510" t="s">
        <v>19</v>
      </c>
      <c r="H510">
        <v>120000</v>
      </c>
      <c r="I510" t="s">
        <v>29</v>
      </c>
      <c r="J510">
        <v>100</v>
      </c>
      <c r="K510" t="s">
        <v>29</v>
      </c>
      <c r="L510" t="s">
        <v>16</v>
      </c>
    </row>
    <row r="511" spans="1:12">
      <c r="A511">
        <v>509</v>
      </c>
      <c r="B511">
        <v>2022</v>
      </c>
      <c r="C511" t="s">
        <v>11</v>
      </c>
      <c r="D511" t="s">
        <v>12</v>
      </c>
      <c r="E511" t="s">
        <v>84</v>
      </c>
      <c r="F511">
        <v>157000</v>
      </c>
      <c r="G511" t="s">
        <v>19</v>
      </c>
      <c r="H511">
        <v>157000</v>
      </c>
      <c r="I511" t="s">
        <v>29</v>
      </c>
      <c r="J511">
        <v>100</v>
      </c>
      <c r="K511" t="s">
        <v>29</v>
      </c>
      <c r="L511" t="s">
        <v>16</v>
      </c>
    </row>
    <row r="512" spans="1:12">
      <c r="A512">
        <v>510</v>
      </c>
      <c r="B512">
        <v>2022</v>
      </c>
      <c r="C512" t="s">
        <v>30</v>
      </c>
      <c r="D512" t="s">
        <v>12</v>
      </c>
      <c r="E512" t="s">
        <v>93</v>
      </c>
      <c r="F512">
        <v>150000</v>
      </c>
      <c r="G512" t="s">
        <v>19</v>
      </c>
      <c r="H512">
        <v>150000</v>
      </c>
      <c r="I512" t="s">
        <v>142</v>
      </c>
      <c r="J512">
        <v>100</v>
      </c>
      <c r="K512" t="s">
        <v>142</v>
      </c>
      <c r="L512" t="s">
        <v>21</v>
      </c>
    </row>
    <row r="513" spans="1:12">
      <c r="A513">
        <v>511</v>
      </c>
      <c r="B513">
        <v>2022</v>
      </c>
      <c r="C513" t="s">
        <v>11</v>
      </c>
      <c r="D513" t="s">
        <v>12</v>
      </c>
      <c r="E513" t="s">
        <v>35</v>
      </c>
      <c r="F513">
        <v>90000</v>
      </c>
      <c r="G513" t="s">
        <v>61</v>
      </c>
      <c r="H513">
        <v>70912</v>
      </c>
      <c r="I513" t="s">
        <v>62</v>
      </c>
      <c r="J513">
        <v>50</v>
      </c>
      <c r="K513" t="s">
        <v>62</v>
      </c>
      <c r="L513" t="s">
        <v>16</v>
      </c>
    </row>
    <row r="514" spans="1:12">
      <c r="A514">
        <v>512</v>
      </c>
      <c r="B514">
        <v>2022</v>
      </c>
      <c r="C514" t="s">
        <v>30</v>
      </c>
      <c r="D514" t="s">
        <v>12</v>
      </c>
      <c r="E514" t="s">
        <v>43</v>
      </c>
      <c r="F514">
        <v>65000</v>
      </c>
      <c r="G514" t="s">
        <v>19</v>
      </c>
      <c r="H514">
        <v>65000</v>
      </c>
      <c r="I514" t="s">
        <v>29</v>
      </c>
      <c r="J514">
        <v>100</v>
      </c>
      <c r="K514" t="s">
        <v>29</v>
      </c>
      <c r="L514" t="s">
        <v>21</v>
      </c>
    </row>
    <row r="515" spans="1:12">
      <c r="A515">
        <v>513</v>
      </c>
      <c r="B515">
        <v>2022</v>
      </c>
      <c r="C515" t="s">
        <v>17</v>
      </c>
      <c r="D515" t="s">
        <v>12</v>
      </c>
      <c r="E515" t="s">
        <v>28</v>
      </c>
      <c r="F515">
        <v>65000</v>
      </c>
      <c r="G515" t="s">
        <v>14</v>
      </c>
      <c r="H515">
        <v>71444</v>
      </c>
      <c r="I515" t="s">
        <v>144</v>
      </c>
      <c r="J515">
        <v>100</v>
      </c>
      <c r="K515" t="s">
        <v>144</v>
      </c>
      <c r="L515" t="s">
        <v>21</v>
      </c>
    </row>
    <row r="516" spans="1:12">
      <c r="A516">
        <v>514</v>
      </c>
      <c r="B516">
        <v>2022</v>
      </c>
      <c r="C516" t="s">
        <v>30</v>
      </c>
      <c r="D516" t="s">
        <v>12</v>
      </c>
      <c r="E516" t="s">
        <v>83</v>
      </c>
      <c r="F516">
        <v>20000</v>
      </c>
      <c r="G516" t="s">
        <v>19</v>
      </c>
      <c r="H516">
        <v>20000</v>
      </c>
      <c r="I516" t="s">
        <v>42</v>
      </c>
      <c r="J516">
        <v>0</v>
      </c>
      <c r="K516" t="s">
        <v>42</v>
      </c>
      <c r="L516" t="s">
        <v>25</v>
      </c>
    </row>
    <row r="517" spans="1:12">
      <c r="A517">
        <v>515</v>
      </c>
      <c r="B517">
        <v>2022</v>
      </c>
      <c r="C517" t="s">
        <v>11</v>
      </c>
      <c r="D517" t="s">
        <v>12</v>
      </c>
      <c r="E517" t="s">
        <v>13</v>
      </c>
      <c r="F517">
        <v>48000</v>
      </c>
      <c r="G517" t="s">
        <v>19</v>
      </c>
      <c r="H517">
        <v>48000</v>
      </c>
      <c r="I517" t="s">
        <v>75</v>
      </c>
      <c r="J517">
        <v>100</v>
      </c>
      <c r="K517" t="s">
        <v>29</v>
      </c>
      <c r="L517" t="s">
        <v>21</v>
      </c>
    </row>
    <row r="518" spans="1:12">
      <c r="A518">
        <v>516</v>
      </c>
      <c r="B518">
        <v>2022</v>
      </c>
      <c r="C518" t="s">
        <v>17</v>
      </c>
      <c r="D518" t="s">
        <v>12</v>
      </c>
      <c r="E518" t="s">
        <v>79</v>
      </c>
      <c r="F518">
        <v>152500</v>
      </c>
      <c r="G518" t="s">
        <v>19</v>
      </c>
      <c r="H518">
        <v>152500</v>
      </c>
      <c r="I518" t="s">
        <v>29</v>
      </c>
      <c r="J518">
        <v>100</v>
      </c>
      <c r="K518" t="s">
        <v>29</v>
      </c>
      <c r="L518" t="s">
        <v>25</v>
      </c>
    </row>
    <row r="519" spans="1:12">
      <c r="A519">
        <v>517</v>
      </c>
      <c r="B519">
        <v>2022</v>
      </c>
      <c r="C519" t="s">
        <v>11</v>
      </c>
      <c r="D519" t="s">
        <v>12</v>
      </c>
      <c r="E519" t="s">
        <v>43</v>
      </c>
      <c r="F519">
        <v>62000</v>
      </c>
      <c r="G519" t="s">
        <v>14</v>
      </c>
      <c r="H519">
        <v>68147</v>
      </c>
      <c r="I519" t="s">
        <v>38</v>
      </c>
      <c r="J519">
        <v>100</v>
      </c>
      <c r="K519" t="s">
        <v>38</v>
      </c>
      <c r="L519" t="s">
        <v>25</v>
      </c>
    </row>
    <row r="520" spans="1:12">
      <c r="A520">
        <v>518</v>
      </c>
      <c r="B520">
        <v>2022</v>
      </c>
      <c r="C520" t="s">
        <v>11</v>
      </c>
      <c r="D520" t="s">
        <v>12</v>
      </c>
      <c r="E520" t="s">
        <v>13</v>
      </c>
      <c r="F520">
        <v>115000</v>
      </c>
      <c r="G520" t="s">
        <v>145</v>
      </c>
      <c r="H520">
        <v>122346</v>
      </c>
      <c r="I520" t="s">
        <v>120</v>
      </c>
      <c r="J520">
        <v>0</v>
      </c>
      <c r="K520" t="s">
        <v>120</v>
      </c>
      <c r="L520" t="s">
        <v>16</v>
      </c>
    </row>
    <row r="521" spans="1:12">
      <c r="A521">
        <v>519</v>
      </c>
      <c r="B521">
        <v>2022</v>
      </c>
      <c r="C521" t="s">
        <v>17</v>
      </c>
      <c r="D521" t="s">
        <v>12</v>
      </c>
      <c r="E521" t="s">
        <v>84</v>
      </c>
      <c r="F521">
        <v>380000</v>
      </c>
      <c r="G521" t="s">
        <v>19</v>
      </c>
      <c r="H521">
        <v>380000</v>
      </c>
      <c r="I521" t="s">
        <v>29</v>
      </c>
      <c r="J521">
        <v>100</v>
      </c>
      <c r="K521" t="s">
        <v>29</v>
      </c>
      <c r="L521" t="s">
        <v>16</v>
      </c>
    </row>
    <row r="522" spans="1:12">
      <c r="A522">
        <v>520</v>
      </c>
      <c r="B522">
        <v>2022</v>
      </c>
      <c r="C522" t="s">
        <v>11</v>
      </c>
      <c r="D522" t="s">
        <v>12</v>
      </c>
      <c r="E522" t="s">
        <v>13</v>
      </c>
      <c r="F522">
        <v>88000</v>
      </c>
      <c r="G522" t="s">
        <v>61</v>
      </c>
      <c r="H522">
        <v>69336</v>
      </c>
      <c r="I522" t="s">
        <v>62</v>
      </c>
      <c r="J522">
        <v>100</v>
      </c>
      <c r="K522" t="s">
        <v>62</v>
      </c>
      <c r="L522" t="s">
        <v>25</v>
      </c>
    </row>
    <row r="523" spans="1:12">
      <c r="A523">
        <v>521</v>
      </c>
      <c r="B523">
        <v>2022</v>
      </c>
      <c r="C523" t="s">
        <v>30</v>
      </c>
      <c r="D523" t="s">
        <v>12</v>
      </c>
      <c r="E523" t="s">
        <v>74</v>
      </c>
      <c r="F523">
        <v>10000</v>
      </c>
      <c r="G523" t="s">
        <v>19</v>
      </c>
      <c r="H523">
        <v>10000</v>
      </c>
      <c r="I523" t="s">
        <v>47</v>
      </c>
      <c r="J523">
        <v>100</v>
      </c>
      <c r="K523" t="s">
        <v>80</v>
      </c>
      <c r="L523" t="s">
        <v>25</v>
      </c>
    </row>
    <row r="524" spans="1:12">
      <c r="A524">
        <v>522</v>
      </c>
      <c r="B524">
        <v>2022</v>
      </c>
      <c r="C524" t="s">
        <v>11</v>
      </c>
      <c r="D524" t="s">
        <v>12</v>
      </c>
      <c r="E524" t="s">
        <v>31</v>
      </c>
      <c r="F524">
        <v>20000</v>
      </c>
      <c r="G524" t="s">
        <v>19</v>
      </c>
      <c r="H524">
        <v>20000</v>
      </c>
      <c r="I524" t="s">
        <v>50</v>
      </c>
      <c r="J524">
        <v>100</v>
      </c>
      <c r="K524" t="s">
        <v>50</v>
      </c>
      <c r="L524" t="s">
        <v>21</v>
      </c>
    </row>
    <row r="525" spans="1:12">
      <c r="A525">
        <v>523</v>
      </c>
      <c r="B525">
        <v>2022</v>
      </c>
      <c r="C525" t="s">
        <v>17</v>
      </c>
      <c r="D525" t="s">
        <v>12</v>
      </c>
      <c r="E525" t="s">
        <v>146</v>
      </c>
      <c r="F525">
        <v>405000</v>
      </c>
      <c r="G525" t="s">
        <v>19</v>
      </c>
      <c r="H525">
        <v>405000</v>
      </c>
      <c r="I525" t="s">
        <v>29</v>
      </c>
      <c r="J525">
        <v>100</v>
      </c>
      <c r="K525" t="s">
        <v>29</v>
      </c>
      <c r="L525" t="s">
        <v>16</v>
      </c>
    </row>
    <row r="526" spans="1:12">
      <c r="A526">
        <v>524</v>
      </c>
      <c r="B526">
        <v>2022</v>
      </c>
      <c r="C526" t="s">
        <v>11</v>
      </c>
      <c r="D526" t="s">
        <v>12</v>
      </c>
      <c r="E526" t="s">
        <v>13</v>
      </c>
      <c r="F526">
        <v>135000</v>
      </c>
      <c r="G526" t="s">
        <v>19</v>
      </c>
      <c r="H526">
        <v>135000</v>
      </c>
      <c r="I526" t="s">
        <v>29</v>
      </c>
      <c r="J526">
        <v>100</v>
      </c>
      <c r="K526" t="s">
        <v>29</v>
      </c>
      <c r="L526" t="s">
        <v>16</v>
      </c>
    </row>
    <row r="527" spans="1:12">
      <c r="A527">
        <v>525</v>
      </c>
      <c r="B527">
        <v>2022</v>
      </c>
      <c r="C527" t="s">
        <v>17</v>
      </c>
      <c r="D527" t="s">
        <v>12</v>
      </c>
      <c r="E527" t="s">
        <v>84</v>
      </c>
      <c r="F527">
        <v>177000</v>
      </c>
      <c r="G527" t="s">
        <v>19</v>
      </c>
      <c r="H527">
        <v>177000</v>
      </c>
      <c r="I527" t="s">
        <v>29</v>
      </c>
      <c r="J527">
        <v>100</v>
      </c>
      <c r="K527" t="s">
        <v>29</v>
      </c>
      <c r="L527" t="s">
        <v>16</v>
      </c>
    </row>
    <row r="528" spans="1:12">
      <c r="A528">
        <v>526</v>
      </c>
      <c r="B528">
        <v>2022</v>
      </c>
      <c r="C528" t="s">
        <v>11</v>
      </c>
      <c r="D528" t="s">
        <v>12</v>
      </c>
      <c r="E528" t="s">
        <v>13</v>
      </c>
      <c r="F528">
        <v>78000</v>
      </c>
      <c r="G528" t="s">
        <v>19</v>
      </c>
      <c r="H528">
        <v>78000</v>
      </c>
      <c r="I528" t="s">
        <v>29</v>
      </c>
      <c r="J528">
        <v>100</v>
      </c>
      <c r="K528" t="s">
        <v>29</v>
      </c>
      <c r="L528" t="s">
        <v>25</v>
      </c>
    </row>
    <row r="529" spans="1:12">
      <c r="A529">
        <v>527</v>
      </c>
      <c r="B529">
        <v>2022</v>
      </c>
      <c r="C529" t="s">
        <v>17</v>
      </c>
      <c r="D529" t="s">
        <v>12</v>
      </c>
      <c r="E529" t="s">
        <v>31</v>
      </c>
      <c r="F529">
        <v>135000</v>
      </c>
      <c r="G529" t="s">
        <v>19</v>
      </c>
      <c r="H529">
        <v>135000</v>
      </c>
      <c r="I529" t="s">
        <v>29</v>
      </c>
      <c r="J529">
        <v>100</v>
      </c>
      <c r="K529" t="s">
        <v>29</v>
      </c>
      <c r="L529" t="s">
        <v>25</v>
      </c>
    </row>
    <row r="530" spans="1:12">
      <c r="A530">
        <v>528</v>
      </c>
      <c r="B530">
        <v>2022</v>
      </c>
      <c r="C530" t="s">
        <v>17</v>
      </c>
      <c r="D530" t="s">
        <v>12</v>
      </c>
      <c r="E530" t="s">
        <v>31</v>
      </c>
      <c r="F530">
        <v>100000</v>
      </c>
      <c r="G530" t="s">
        <v>19</v>
      </c>
      <c r="H530">
        <v>100000</v>
      </c>
      <c r="I530" t="s">
        <v>29</v>
      </c>
      <c r="J530">
        <v>100</v>
      </c>
      <c r="K530" t="s">
        <v>29</v>
      </c>
      <c r="L530" t="s">
        <v>25</v>
      </c>
    </row>
    <row r="531" spans="1:12">
      <c r="A531">
        <v>529</v>
      </c>
      <c r="B531">
        <v>2022</v>
      </c>
      <c r="C531" t="s">
        <v>17</v>
      </c>
      <c r="D531" t="s">
        <v>12</v>
      </c>
      <c r="E531" t="s">
        <v>31</v>
      </c>
      <c r="F531">
        <v>90320</v>
      </c>
      <c r="G531" t="s">
        <v>19</v>
      </c>
      <c r="H531">
        <v>90320</v>
      </c>
      <c r="I531" t="s">
        <v>29</v>
      </c>
      <c r="J531">
        <v>100</v>
      </c>
      <c r="K531" t="s">
        <v>29</v>
      </c>
      <c r="L531" t="s">
        <v>25</v>
      </c>
    </row>
    <row r="532" spans="1:12">
      <c r="A532">
        <v>530</v>
      </c>
      <c r="B532">
        <v>2022</v>
      </c>
      <c r="C532" t="s">
        <v>11</v>
      </c>
      <c r="D532" t="s">
        <v>12</v>
      </c>
      <c r="E532" t="s">
        <v>31</v>
      </c>
      <c r="F532">
        <v>85000</v>
      </c>
      <c r="G532" t="s">
        <v>19</v>
      </c>
      <c r="H532">
        <v>85000</v>
      </c>
      <c r="I532" t="s">
        <v>62</v>
      </c>
      <c r="J532">
        <v>0</v>
      </c>
      <c r="K532" t="s">
        <v>62</v>
      </c>
      <c r="L532" t="s">
        <v>25</v>
      </c>
    </row>
    <row r="533" spans="1:12">
      <c r="A533">
        <v>531</v>
      </c>
      <c r="B533">
        <v>2022</v>
      </c>
      <c r="C533" t="s">
        <v>11</v>
      </c>
      <c r="D533" t="s">
        <v>12</v>
      </c>
      <c r="E533" t="s">
        <v>31</v>
      </c>
      <c r="F533">
        <v>75000</v>
      </c>
      <c r="G533" t="s">
        <v>19</v>
      </c>
      <c r="H533">
        <v>75000</v>
      </c>
      <c r="I533" t="s">
        <v>62</v>
      </c>
      <c r="J533">
        <v>0</v>
      </c>
      <c r="K533" t="s">
        <v>62</v>
      </c>
      <c r="L533" t="s">
        <v>25</v>
      </c>
    </row>
    <row r="534" spans="1:12">
      <c r="A534">
        <v>532</v>
      </c>
      <c r="B534">
        <v>2022</v>
      </c>
      <c r="C534" t="s">
        <v>17</v>
      </c>
      <c r="D534" t="s">
        <v>12</v>
      </c>
      <c r="E534" t="s">
        <v>28</v>
      </c>
      <c r="F534">
        <v>214000</v>
      </c>
      <c r="G534" t="s">
        <v>19</v>
      </c>
      <c r="H534">
        <v>214000</v>
      </c>
      <c r="I534" t="s">
        <v>29</v>
      </c>
      <c r="J534">
        <v>100</v>
      </c>
      <c r="K534" t="s">
        <v>29</v>
      </c>
      <c r="L534" t="s">
        <v>25</v>
      </c>
    </row>
    <row r="535" spans="1:12">
      <c r="A535">
        <v>533</v>
      </c>
      <c r="B535">
        <v>2022</v>
      </c>
      <c r="C535" t="s">
        <v>17</v>
      </c>
      <c r="D535" t="s">
        <v>12</v>
      </c>
      <c r="E535" t="s">
        <v>28</v>
      </c>
      <c r="F535">
        <v>192600</v>
      </c>
      <c r="G535" t="s">
        <v>19</v>
      </c>
      <c r="H535">
        <v>192600</v>
      </c>
      <c r="I535" t="s">
        <v>29</v>
      </c>
      <c r="J535">
        <v>100</v>
      </c>
      <c r="K535" t="s">
        <v>29</v>
      </c>
      <c r="L535" t="s">
        <v>25</v>
      </c>
    </row>
    <row r="536" spans="1:12">
      <c r="A536">
        <v>534</v>
      </c>
      <c r="B536">
        <v>2022</v>
      </c>
      <c r="C536" t="s">
        <v>17</v>
      </c>
      <c r="D536" t="s">
        <v>12</v>
      </c>
      <c r="E536" t="s">
        <v>109</v>
      </c>
      <c r="F536">
        <v>266400</v>
      </c>
      <c r="G536" t="s">
        <v>19</v>
      </c>
      <c r="H536">
        <v>266400</v>
      </c>
      <c r="I536" t="s">
        <v>29</v>
      </c>
      <c r="J536">
        <v>100</v>
      </c>
      <c r="K536" t="s">
        <v>29</v>
      </c>
      <c r="L536" t="s">
        <v>25</v>
      </c>
    </row>
    <row r="537" spans="1:12">
      <c r="A537">
        <v>535</v>
      </c>
      <c r="B537">
        <v>2022</v>
      </c>
      <c r="C537" t="s">
        <v>17</v>
      </c>
      <c r="D537" t="s">
        <v>12</v>
      </c>
      <c r="E537" t="s">
        <v>109</v>
      </c>
      <c r="F537">
        <v>213120</v>
      </c>
      <c r="G537" t="s">
        <v>19</v>
      </c>
      <c r="H537">
        <v>213120</v>
      </c>
      <c r="I537" t="s">
        <v>29</v>
      </c>
      <c r="J537">
        <v>100</v>
      </c>
      <c r="K537" t="s">
        <v>29</v>
      </c>
      <c r="L537" t="s">
        <v>25</v>
      </c>
    </row>
    <row r="538" spans="1:12">
      <c r="A538">
        <v>536</v>
      </c>
      <c r="B538">
        <v>2022</v>
      </c>
      <c r="C538" t="s">
        <v>17</v>
      </c>
      <c r="D538" t="s">
        <v>12</v>
      </c>
      <c r="E538" t="s">
        <v>31</v>
      </c>
      <c r="F538">
        <v>112900</v>
      </c>
      <c r="G538" t="s">
        <v>19</v>
      </c>
      <c r="H538">
        <v>112900</v>
      </c>
      <c r="I538" t="s">
        <v>29</v>
      </c>
      <c r="J538">
        <v>100</v>
      </c>
      <c r="K538" t="s">
        <v>29</v>
      </c>
      <c r="L538" t="s">
        <v>25</v>
      </c>
    </row>
    <row r="539" spans="1:12">
      <c r="A539">
        <v>537</v>
      </c>
      <c r="B539">
        <v>2022</v>
      </c>
      <c r="C539" t="s">
        <v>17</v>
      </c>
      <c r="D539" t="s">
        <v>12</v>
      </c>
      <c r="E539" t="s">
        <v>43</v>
      </c>
      <c r="F539">
        <v>155000</v>
      </c>
      <c r="G539" t="s">
        <v>19</v>
      </c>
      <c r="H539">
        <v>155000</v>
      </c>
      <c r="I539" t="s">
        <v>29</v>
      </c>
      <c r="J539">
        <v>100</v>
      </c>
      <c r="K539" t="s">
        <v>29</v>
      </c>
      <c r="L539" t="s">
        <v>25</v>
      </c>
    </row>
    <row r="540" spans="1:12">
      <c r="A540">
        <v>538</v>
      </c>
      <c r="B540">
        <v>2022</v>
      </c>
      <c r="C540" t="s">
        <v>11</v>
      </c>
      <c r="D540" t="s">
        <v>12</v>
      </c>
      <c r="E540" t="s">
        <v>13</v>
      </c>
      <c r="F540">
        <v>141300</v>
      </c>
      <c r="G540" t="s">
        <v>19</v>
      </c>
      <c r="H540">
        <v>141300</v>
      </c>
      <c r="I540" t="s">
        <v>29</v>
      </c>
      <c r="J540">
        <v>0</v>
      </c>
      <c r="K540" t="s">
        <v>29</v>
      </c>
      <c r="L540" t="s">
        <v>25</v>
      </c>
    </row>
    <row r="541" spans="1:12">
      <c r="A541">
        <v>539</v>
      </c>
      <c r="B541">
        <v>2022</v>
      </c>
      <c r="C541" t="s">
        <v>11</v>
      </c>
      <c r="D541" t="s">
        <v>12</v>
      </c>
      <c r="E541" t="s">
        <v>13</v>
      </c>
      <c r="F541">
        <v>102100</v>
      </c>
      <c r="G541" t="s">
        <v>19</v>
      </c>
      <c r="H541">
        <v>102100</v>
      </c>
      <c r="I541" t="s">
        <v>29</v>
      </c>
      <c r="J541">
        <v>0</v>
      </c>
      <c r="K541" t="s">
        <v>29</v>
      </c>
      <c r="L541" t="s">
        <v>25</v>
      </c>
    </row>
    <row r="542" spans="1:12">
      <c r="A542">
        <v>540</v>
      </c>
      <c r="B542">
        <v>2022</v>
      </c>
      <c r="C542" t="s">
        <v>17</v>
      </c>
      <c r="D542" t="s">
        <v>12</v>
      </c>
      <c r="E542" t="s">
        <v>31</v>
      </c>
      <c r="F542">
        <v>115934</v>
      </c>
      <c r="G542" t="s">
        <v>19</v>
      </c>
      <c r="H542">
        <v>115934</v>
      </c>
      <c r="I542" t="s">
        <v>29</v>
      </c>
      <c r="J542">
        <v>100</v>
      </c>
      <c r="K542" t="s">
        <v>29</v>
      </c>
      <c r="L542" t="s">
        <v>25</v>
      </c>
    </row>
    <row r="543" spans="1:12">
      <c r="A543">
        <v>541</v>
      </c>
      <c r="B543">
        <v>2022</v>
      </c>
      <c r="C543" t="s">
        <v>17</v>
      </c>
      <c r="D543" t="s">
        <v>12</v>
      </c>
      <c r="E543" t="s">
        <v>31</v>
      </c>
      <c r="F543">
        <v>81666</v>
      </c>
      <c r="G543" t="s">
        <v>19</v>
      </c>
      <c r="H543">
        <v>81666</v>
      </c>
      <c r="I543" t="s">
        <v>29</v>
      </c>
      <c r="J543">
        <v>100</v>
      </c>
      <c r="K543" t="s">
        <v>29</v>
      </c>
      <c r="L543" t="s">
        <v>25</v>
      </c>
    </row>
    <row r="544" spans="1:12">
      <c r="A544">
        <v>542</v>
      </c>
      <c r="B544">
        <v>2022</v>
      </c>
      <c r="C544" t="s">
        <v>11</v>
      </c>
      <c r="D544" t="s">
        <v>12</v>
      </c>
      <c r="E544" t="s">
        <v>43</v>
      </c>
      <c r="F544">
        <v>206699</v>
      </c>
      <c r="G544" t="s">
        <v>19</v>
      </c>
      <c r="H544">
        <v>206699</v>
      </c>
      <c r="I544" t="s">
        <v>29</v>
      </c>
      <c r="J544">
        <v>0</v>
      </c>
      <c r="K544" t="s">
        <v>29</v>
      </c>
      <c r="L544" t="s">
        <v>25</v>
      </c>
    </row>
    <row r="545" spans="1:12">
      <c r="A545">
        <v>543</v>
      </c>
      <c r="B545">
        <v>2022</v>
      </c>
      <c r="C545" t="s">
        <v>11</v>
      </c>
      <c r="D545" t="s">
        <v>12</v>
      </c>
      <c r="E545" t="s">
        <v>43</v>
      </c>
      <c r="F545">
        <v>99100</v>
      </c>
      <c r="G545" t="s">
        <v>19</v>
      </c>
      <c r="H545">
        <v>99100</v>
      </c>
      <c r="I545" t="s">
        <v>29</v>
      </c>
      <c r="J545">
        <v>0</v>
      </c>
      <c r="K545" t="s">
        <v>29</v>
      </c>
      <c r="L545" t="s">
        <v>25</v>
      </c>
    </row>
    <row r="546" spans="1:12">
      <c r="A546">
        <v>544</v>
      </c>
      <c r="B546">
        <v>2022</v>
      </c>
      <c r="C546" t="s">
        <v>17</v>
      </c>
      <c r="D546" t="s">
        <v>12</v>
      </c>
      <c r="E546" t="s">
        <v>43</v>
      </c>
      <c r="F546">
        <v>130000</v>
      </c>
      <c r="G546" t="s">
        <v>19</v>
      </c>
      <c r="H546">
        <v>130000</v>
      </c>
      <c r="I546" t="s">
        <v>29</v>
      </c>
      <c r="J546">
        <v>100</v>
      </c>
      <c r="K546" t="s">
        <v>29</v>
      </c>
      <c r="L546" t="s">
        <v>25</v>
      </c>
    </row>
    <row r="547" spans="1:12">
      <c r="A547">
        <v>545</v>
      </c>
      <c r="B547">
        <v>2022</v>
      </c>
      <c r="C547" t="s">
        <v>17</v>
      </c>
      <c r="D547" t="s">
        <v>12</v>
      </c>
      <c r="E547" t="s">
        <v>43</v>
      </c>
      <c r="F547">
        <v>115000</v>
      </c>
      <c r="G547" t="s">
        <v>19</v>
      </c>
      <c r="H547">
        <v>115000</v>
      </c>
      <c r="I547" t="s">
        <v>29</v>
      </c>
      <c r="J547">
        <v>100</v>
      </c>
      <c r="K547" t="s">
        <v>29</v>
      </c>
      <c r="L547" t="s">
        <v>25</v>
      </c>
    </row>
    <row r="548" spans="1:12">
      <c r="A548">
        <v>546</v>
      </c>
      <c r="B548">
        <v>2022</v>
      </c>
      <c r="C548" t="s">
        <v>17</v>
      </c>
      <c r="D548" t="s">
        <v>12</v>
      </c>
      <c r="E548" t="s">
        <v>43</v>
      </c>
      <c r="F548">
        <v>110500</v>
      </c>
      <c r="G548" t="s">
        <v>19</v>
      </c>
      <c r="H548">
        <v>110500</v>
      </c>
      <c r="I548" t="s">
        <v>29</v>
      </c>
      <c r="J548">
        <v>100</v>
      </c>
      <c r="K548" t="s">
        <v>29</v>
      </c>
      <c r="L548" t="s">
        <v>25</v>
      </c>
    </row>
    <row r="549" spans="1:12">
      <c r="A549">
        <v>547</v>
      </c>
      <c r="B549">
        <v>2022</v>
      </c>
      <c r="C549" t="s">
        <v>17</v>
      </c>
      <c r="D549" t="s">
        <v>12</v>
      </c>
      <c r="E549" t="s">
        <v>43</v>
      </c>
      <c r="F549">
        <v>130000</v>
      </c>
      <c r="G549" t="s">
        <v>19</v>
      </c>
      <c r="H549">
        <v>130000</v>
      </c>
      <c r="I549" t="s">
        <v>29</v>
      </c>
      <c r="J549">
        <v>100</v>
      </c>
      <c r="K549" t="s">
        <v>29</v>
      </c>
      <c r="L549" t="s">
        <v>25</v>
      </c>
    </row>
    <row r="550" spans="1:12">
      <c r="A550">
        <v>548</v>
      </c>
      <c r="B550">
        <v>2022</v>
      </c>
      <c r="C550" t="s">
        <v>17</v>
      </c>
      <c r="D550" t="s">
        <v>12</v>
      </c>
      <c r="E550" t="s">
        <v>31</v>
      </c>
      <c r="F550">
        <v>99050</v>
      </c>
      <c r="G550" t="s">
        <v>19</v>
      </c>
      <c r="H550">
        <v>99050</v>
      </c>
      <c r="I550" t="s">
        <v>29</v>
      </c>
      <c r="J550">
        <v>100</v>
      </c>
      <c r="K550" t="s">
        <v>29</v>
      </c>
      <c r="L550" t="s">
        <v>25</v>
      </c>
    </row>
    <row r="551" spans="1:12">
      <c r="A551">
        <v>549</v>
      </c>
      <c r="B551">
        <v>2022</v>
      </c>
      <c r="C551" t="s">
        <v>17</v>
      </c>
      <c r="D551" t="s">
        <v>12</v>
      </c>
      <c r="E551" t="s">
        <v>43</v>
      </c>
      <c r="F551">
        <v>160000</v>
      </c>
      <c r="G551" t="s">
        <v>19</v>
      </c>
      <c r="H551">
        <v>160000</v>
      </c>
      <c r="I551" t="s">
        <v>29</v>
      </c>
      <c r="J551">
        <v>100</v>
      </c>
      <c r="K551" t="s">
        <v>29</v>
      </c>
      <c r="L551" t="s">
        <v>25</v>
      </c>
    </row>
    <row r="552" spans="1:12">
      <c r="A552">
        <v>550</v>
      </c>
      <c r="B552">
        <v>2022</v>
      </c>
      <c r="C552" t="s">
        <v>17</v>
      </c>
      <c r="D552" t="s">
        <v>12</v>
      </c>
      <c r="E552" t="s">
        <v>13</v>
      </c>
      <c r="F552">
        <v>205300</v>
      </c>
      <c r="G552" t="s">
        <v>19</v>
      </c>
      <c r="H552">
        <v>205300</v>
      </c>
      <c r="I552" t="s">
        <v>29</v>
      </c>
      <c r="J552">
        <v>0</v>
      </c>
      <c r="K552" t="s">
        <v>29</v>
      </c>
      <c r="L552" t="s">
        <v>16</v>
      </c>
    </row>
    <row r="553" spans="1:12">
      <c r="A553">
        <v>551</v>
      </c>
      <c r="B553">
        <v>2022</v>
      </c>
      <c r="C553" t="s">
        <v>17</v>
      </c>
      <c r="D553" t="s">
        <v>12</v>
      </c>
      <c r="E553" t="s">
        <v>13</v>
      </c>
      <c r="F553">
        <v>140400</v>
      </c>
      <c r="G553" t="s">
        <v>19</v>
      </c>
      <c r="H553">
        <v>140400</v>
      </c>
      <c r="I553" t="s">
        <v>29</v>
      </c>
      <c r="J553">
        <v>0</v>
      </c>
      <c r="K553" t="s">
        <v>29</v>
      </c>
      <c r="L553" t="s">
        <v>16</v>
      </c>
    </row>
    <row r="554" spans="1:12">
      <c r="A554">
        <v>552</v>
      </c>
      <c r="B554">
        <v>2022</v>
      </c>
      <c r="C554" t="s">
        <v>17</v>
      </c>
      <c r="D554" t="s">
        <v>12</v>
      </c>
      <c r="E554" t="s">
        <v>13</v>
      </c>
      <c r="F554">
        <v>176000</v>
      </c>
      <c r="G554" t="s">
        <v>19</v>
      </c>
      <c r="H554">
        <v>176000</v>
      </c>
      <c r="I554" t="s">
        <v>29</v>
      </c>
      <c r="J554">
        <v>100</v>
      </c>
      <c r="K554" t="s">
        <v>29</v>
      </c>
      <c r="L554" t="s">
        <v>25</v>
      </c>
    </row>
    <row r="555" spans="1:12">
      <c r="A555">
        <v>553</v>
      </c>
      <c r="B555">
        <v>2022</v>
      </c>
      <c r="C555" t="s">
        <v>17</v>
      </c>
      <c r="D555" t="s">
        <v>12</v>
      </c>
      <c r="E555" t="s">
        <v>13</v>
      </c>
      <c r="F555">
        <v>144000</v>
      </c>
      <c r="G555" t="s">
        <v>19</v>
      </c>
      <c r="H555">
        <v>144000</v>
      </c>
      <c r="I555" t="s">
        <v>29</v>
      </c>
      <c r="J555">
        <v>100</v>
      </c>
      <c r="K555" t="s">
        <v>29</v>
      </c>
      <c r="L555" t="s">
        <v>25</v>
      </c>
    </row>
    <row r="556" spans="1:12">
      <c r="A556">
        <v>554</v>
      </c>
      <c r="B556">
        <v>2022</v>
      </c>
      <c r="C556" t="s">
        <v>17</v>
      </c>
      <c r="D556" t="s">
        <v>12</v>
      </c>
      <c r="E556" t="s">
        <v>43</v>
      </c>
      <c r="F556">
        <v>200100</v>
      </c>
      <c r="G556" t="s">
        <v>19</v>
      </c>
      <c r="H556">
        <v>200100</v>
      </c>
      <c r="I556" t="s">
        <v>29</v>
      </c>
      <c r="J556">
        <v>100</v>
      </c>
      <c r="K556" t="s">
        <v>29</v>
      </c>
      <c r="L556" t="s">
        <v>25</v>
      </c>
    </row>
    <row r="557" spans="1:12">
      <c r="A557">
        <v>555</v>
      </c>
      <c r="B557">
        <v>2022</v>
      </c>
      <c r="C557" t="s">
        <v>17</v>
      </c>
      <c r="D557" t="s">
        <v>12</v>
      </c>
      <c r="E557" t="s">
        <v>43</v>
      </c>
      <c r="F557">
        <v>160000</v>
      </c>
      <c r="G557" t="s">
        <v>19</v>
      </c>
      <c r="H557">
        <v>160000</v>
      </c>
      <c r="I557" t="s">
        <v>29</v>
      </c>
      <c r="J557">
        <v>100</v>
      </c>
      <c r="K557" t="s">
        <v>29</v>
      </c>
      <c r="L557" t="s">
        <v>25</v>
      </c>
    </row>
    <row r="558" spans="1:12">
      <c r="A558">
        <v>556</v>
      </c>
      <c r="B558">
        <v>2022</v>
      </c>
      <c r="C558" t="s">
        <v>17</v>
      </c>
      <c r="D558" t="s">
        <v>12</v>
      </c>
      <c r="E558" t="s">
        <v>43</v>
      </c>
      <c r="F558">
        <v>145000</v>
      </c>
      <c r="G558" t="s">
        <v>19</v>
      </c>
      <c r="H558">
        <v>145000</v>
      </c>
      <c r="I558" t="s">
        <v>29</v>
      </c>
      <c r="J558">
        <v>100</v>
      </c>
      <c r="K558" t="s">
        <v>29</v>
      </c>
      <c r="L558" t="s">
        <v>25</v>
      </c>
    </row>
    <row r="559" spans="1:12">
      <c r="A559">
        <v>557</v>
      </c>
      <c r="B559">
        <v>2022</v>
      </c>
      <c r="C559" t="s">
        <v>17</v>
      </c>
      <c r="D559" t="s">
        <v>12</v>
      </c>
      <c r="E559" t="s">
        <v>43</v>
      </c>
      <c r="F559">
        <v>70500</v>
      </c>
      <c r="G559" t="s">
        <v>19</v>
      </c>
      <c r="H559">
        <v>70500</v>
      </c>
      <c r="I559" t="s">
        <v>29</v>
      </c>
      <c r="J559">
        <v>0</v>
      </c>
      <c r="K559" t="s">
        <v>29</v>
      </c>
      <c r="L559" t="s">
        <v>25</v>
      </c>
    </row>
    <row r="560" spans="1:12">
      <c r="A560">
        <v>558</v>
      </c>
      <c r="B560">
        <v>2022</v>
      </c>
      <c r="C560" t="s">
        <v>17</v>
      </c>
      <c r="D560" t="s">
        <v>12</v>
      </c>
      <c r="E560" t="s">
        <v>13</v>
      </c>
      <c r="F560">
        <v>205300</v>
      </c>
      <c r="G560" t="s">
        <v>19</v>
      </c>
      <c r="H560">
        <v>205300</v>
      </c>
      <c r="I560" t="s">
        <v>29</v>
      </c>
      <c r="J560">
        <v>0</v>
      </c>
      <c r="K560" t="s">
        <v>29</v>
      </c>
      <c r="L560" t="s">
        <v>25</v>
      </c>
    </row>
    <row r="561" spans="1:12">
      <c r="A561">
        <v>559</v>
      </c>
      <c r="B561">
        <v>2022</v>
      </c>
      <c r="C561" t="s">
        <v>17</v>
      </c>
      <c r="D561" t="s">
        <v>12</v>
      </c>
      <c r="E561" t="s">
        <v>13</v>
      </c>
      <c r="F561">
        <v>140400</v>
      </c>
      <c r="G561" t="s">
        <v>19</v>
      </c>
      <c r="H561">
        <v>140400</v>
      </c>
      <c r="I561" t="s">
        <v>29</v>
      </c>
      <c r="J561">
        <v>0</v>
      </c>
      <c r="K561" t="s">
        <v>29</v>
      </c>
      <c r="L561" t="s">
        <v>25</v>
      </c>
    </row>
    <row r="562" spans="1:12">
      <c r="A562">
        <v>560</v>
      </c>
      <c r="B562">
        <v>2022</v>
      </c>
      <c r="C562" t="s">
        <v>17</v>
      </c>
      <c r="D562" t="s">
        <v>12</v>
      </c>
      <c r="E562" t="s">
        <v>131</v>
      </c>
      <c r="F562">
        <v>205300</v>
      </c>
      <c r="G562" t="s">
        <v>19</v>
      </c>
      <c r="H562">
        <v>205300</v>
      </c>
      <c r="I562" t="s">
        <v>29</v>
      </c>
      <c r="J562">
        <v>0</v>
      </c>
      <c r="K562" t="s">
        <v>29</v>
      </c>
      <c r="L562" t="s">
        <v>25</v>
      </c>
    </row>
    <row r="563" spans="1:12">
      <c r="A563">
        <v>561</v>
      </c>
      <c r="B563">
        <v>2022</v>
      </c>
      <c r="C563" t="s">
        <v>17</v>
      </c>
      <c r="D563" t="s">
        <v>12</v>
      </c>
      <c r="E563" t="s">
        <v>131</v>
      </c>
      <c r="F563">
        <v>184700</v>
      </c>
      <c r="G563" t="s">
        <v>19</v>
      </c>
      <c r="H563">
        <v>184700</v>
      </c>
      <c r="I563" t="s">
        <v>29</v>
      </c>
      <c r="J563">
        <v>0</v>
      </c>
      <c r="K563" t="s">
        <v>29</v>
      </c>
      <c r="L563" t="s">
        <v>25</v>
      </c>
    </row>
    <row r="564" spans="1:12">
      <c r="A564">
        <v>562</v>
      </c>
      <c r="B564">
        <v>2022</v>
      </c>
      <c r="C564" t="s">
        <v>17</v>
      </c>
      <c r="D564" t="s">
        <v>12</v>
      </c>
      <c r="E564" t="s">
        <v>43</v>
      </c>
      <c r="F564">
        <v>175100</v>
      </c>
      <c r="G564" t="s">
        <v>19</v>
      </c>
      <c r="H564">
        <v>175100</v>
      </c>
      <c r="I564" t="s">
        <v>29</v>
      </c>
      <c r="J564">
        <v>100</v>
      </c>
      <c r="K564" t="s">
        <v>29</v>
      </c>
      <c r="L564" t="s">
        <v>25</v>
      </c>
    </row>
    <row r="565" spans="1:12">
      <c r="A565">
        <v>563</v>
      </c>
      <c r="B565">
        <v>2022</v>
      </c>
      <c r="C565" t="s">
        <v>17</v>
      </c>
      <c r="D565" t="s">
        <v>12</v>
      </c>
      <c r="E565" t="s">
        <v>43</v>
      </c>
      <c r="F565">
        <v>140250</v>
      </c>
      <c r="G565" t="s">
        <v>19</v>
      </c>
      <c r="H565">
        <v>140250</v>
      </c>
      <c r="I565" t="s">
        <v>29</v>
      </c>
      <c r="J565">
        <v>100</v>
      </c>
      <c r="K565" t="s">
        <v>29</v>
      </c>
      <c r="L565" t="s">
        <v>25</v>
      </c>
    </row>
    <row r="566" spans="1:12">
      <c r="A566">
        <v>564</v>
      </c>
      <c r="B566">
        <v>2022</v>
      </c>
      <c r="C566" t="s">
        <v>17</v>
      </c>
      <c r="D566" t="s">
        <v>12</v>
      </c>
      <c r="E566" t="s">
        <v>31</v>
      </c>
      <c r="F566">
        <v>116150</v>
      </c>
      <c r="G566" t="s">
        <v>19</v>
      </c>
      <c r="H566">
        <v>116150</v>
      </c>
      <c r="I566" t="s">
        <v>29</v>
      </c>
      <c r="J566">
        <v>100</v>
      </c>
      <c r="K566" t="s">
        <v>29</v>
      </c>
      <c r="L566" t="s">
        <v>25</v>
      </c>
    </row>
    <row r="567" spans="1:12">
      <c r="A567">
        <v>565</v>
      </c>
      <c r="B567">
        <v>2022</v>
      </c>
      <c r="C567" t="s">
        <v>17</v>
      </c>
      <c r="D567" t="s">
        <v>12</v>
      </c>
      <c r="E567" t="s">
        <v>43</v>
      </c>
      <c r="F567">
        <v>54000</v>
      </c>
      <c r="G567" t="s">
        <v>19</v>
      </c>
      <c r="H567">
        <v>54000</v>
      </c>
      <c r="I567" t="s">
        <v>29</v>
      </c>
      <c r="J567">
        <v>0</v>
      </c>
      <c r="K567" t="s">
        <v>29</v>
      </c>
      <c r="L567" t="s">
        <v>25</v>
      </c>
    </row>
    <row r="568" spans="1:12">
      <c r="A568">
        <v>566</v>
      </c>
      <c r="B568">
        <v>2022</v>
      </c>
      <c r="C568" t="s">
        <v>17</v>
      </c>
      <c r="D568" t="s">
        <v>12</v>
      </c>
      <c r="E568" t="s">
        <v>31</v>
      </c>
      <c r="F568">
        <v>170000</v>
      </c>
      <c r="G568" t="s">
        <v>19</v>
      </c>
      <c r="H568">
        <v>170000</v>
      </c>
      <c r="I568" t="s">
        <v>29</v>
      </c>
      <c r="J568">
        <v>100</v>
      </c>
      <c r="K568" t="s">
        <v>29</v>
      </c>
      <c r="L568" t="s">
        <v>25</v>
      </c>
    </row>
    <row r="569" spans="1:12">
      <c r="A569">
        <v>567</v>
      </c>
      <c r="B569">
        <v>2022</v>
      </c>
      <c r="C569" t="s">
        <v>11</v>
      </c>
      <c r="D569" t="s">
        <v>12</v>
      </c>
      <c r="E569" t="s">
        <v>31</v>
      </c>
      <c r="F569">
        <v>50000</v>
      </c>
      <c r="G569" t="s">
        <v>23</v>
      </c>
      <c r="H569">
        <v>65438</v>
      </c>
      <c r="I569" t="s">
        <v>24</v>
      </c>
      <c r="J569">
        <v>0</v>
      </c>
      <c r="K569" t="s">
        <v>24</v>
      </c>
      <c r="L569" t="s">
        <v>25</v>
      </c>
    </row>
    <row r="570" spans="1:12">
      <c r="A570">
        <v>568</v>
      </c>
      <c r="B570">
        <v>2022</v>
      </c>
      <c r="C570" t="s">
        <v>17</v>
      </c>
      <c r="D570" t="s">
        <v>12</v>
      </c>
      <c r="E570" t="s">
        <v>31</v>
      </c>
      <c r="F570">
        <v>80000</v>
      </c>
      <c r="G570" t="s">
        <v>19</v>
      </c>
      <c r="H570">
        <v>80000</v>
      </c>
      <c r="I570" t="s">
        <v>29</v>
      </c>
      <c r="J570">
        <v>100</v>
      </c>
      <c r="K570" t="s">
        <v>29</v>
      </c>
      <c r="L570" t="s">
        <v>25</v>
      </c>
    </row>
    <row r="571" spans="1:12">
      <c r="A571">
        <v>569</v>
      </c>
      <c r="B571">
        <v>2022</v>
      </c>
      <c r="C571" t="s">
        <v>17</v>
      </c>
      <c r="D571" t="s">
        <v>12</v>
      </c>
      <c r="E571" t="s">
        <v>13</v>
      </c>
      <c r="F571">
        <v>140000</v>
      </c>
      <c r="G571" t="s">
        <v>19</v>
      </c>
      <c r="H571">
        <v>140000</v>
      </c>
      <c r="I571" t="s">
        <v>29</v>
      </c>
      <c r="J571">
        <v>100</v>
      </c>
      <c r="K571" t="s">
        <v>29</v>
      </c>
      <c r="L571" t="s">
        <v>25</v>
      </c>
    </row>
    <row r="572" spans="1:12">
      <c r="A572">
        <v>570</v>
      </c>
      <c r="B572">
        <v>2022</v>
      </c>
      <c r="C572" t="s">
        <v>17</v>
      </c>
      <c r="D572" t="s">
        <v>12</v>
      </c>
      <c r="E572" t="s">
        <v>13</v>
      </c>
      <c r="F572">
        <v>210000</v>
      </c>
      <c r="G572" t="s">
        <v>19</v>
      </c>
      <c r="H572">
        <v>210000</v>
      </c>
      <c r="I572" t="s">
        <v>29</v>
      </c>
      <c r="J572">
        <v>100</v>
      </c>
      <c r="K572" t="s">
        <v>29</v>
      </c>
      <c r="L572" t="s">
        <v>25</v>
      </c>
    </row>
    <row r="573" spans="1:12">
      <c r="A573">
        <v>571</v>
      </c>
      <c r="B573">
        <v>2022</v>
      </c>
      <c r="C573" t="s">
        <v>17</v>
      </c>
      <c r="D573" t="s">
        <v>12</v>
      </c>
      <c r="E573" t="s">
        <v>13</v>
      </c>
      <c r="F573">
        <v>140000</v>
      </c>
      <c r="G573" t="s">
        <v>19</v>
      </c>
      <c r="H573">
        <v>140000</v>
      </c>
      <c r="I573" t="s">
        <v>29</v>
      </c>
      <c r="J573">
        <v>100</v>
      </c>
      <c r="K573" t="s">
        <v>29</v>
      </c>
      <c r="L573" t="s">
        <v>25</v>
      </c>
    </row>
    <row r="574" spans="1:12">
      <c r="A574">
        <v>572</v>
      </c>
      <c r="B574">
        <v>2022</v>
      </c>
      <c r="C574" t="s">
        <v>17</v>
      </c>
      <c r="D574" t="s">
        <v>12</v>
      </c>
      <c r="E574" t="s">
        <v>31</v>
      </c>
      <c r="F574">
        <v>100000</v>
      </c>
      <c r="G574" t="s">
        <v>19</v>
      </c>
      <c r="H574">
        <v>100000</v>
      </c>
      <c r="I574" t="s">
        <v>29</v>
      </c>
      <c r="J574">
        <v>100</v>
      </c>
      <c r="K574" t="s">
        <v>29</v>
      </c>
      <c r="L574" t="s">
        <v>25</v>
      </c>
    </row>
    <row r="575" spans="1:12">
      <c r="A575">
        <v>573</v>
      </c>
      <c r="B575">
        <v>2022</v>
      </c>
      <c r="C575" t="s">
        <v>17</v>
      </c>
      <c r="D575" t="s">
        <v>12</v>
      </c>
      <c r="E575" t="s">
        <v>31</v>
      </c>
      <c r="F575">
        <v>69000</v>
      </c>
      <c r="G575" t="s">
        <v>19</v>
      </c>
      <c r="H575">
        <v>69000</v>
      </c>
      <c r="I575" t="s">
        <v>29</v>
      </c>
      <c r="J575">
        <v>100</v>
      </c>
      <c r="K575" t="s">
        <v>29</v>
      </c>
      <c r="L575" t="s">
        <v>25</v>
      </c>
    </row>
    <row r="576" spans="1:12">
      <c r="A576">
        <v>574</v>
      </c>
      <c r="B576">
        <v>2022</v>
      </c>
      <c r="C576" t="s">
        <v>17</v>
      </c>
      <c r="D576" t="s">
        <v>12</v>
      </c>
      <c r="E576" t="s">
        <v>13</v>
      </c>
      <c r="F576">
        <v>210000</v>
      </c>
      <c r="G576" t="s">
        <v>19</v>
      </c>
      <c r="H576">
        <v>210000</v>
      </c>
      <c r="I576" t="s">
        <v>29</v>
      </c>
      <c r="J576">
        <v>100</v>
      </c>
      <c r="K576" t="s">
        <v>29</v>
      </c>
      <c r="L576" t="s">
        <v>25</v>
      </c>
    </row>
    <row r="577" spans="1:12">
      <c r="A577">
        <v>575</v>
      </c>
      <c r="B577">
        <v>2022</v>
      </c>
      <c r="C577" t="s">
        <v>17</v>
      </c>
      <c r="D577" t="s">
        <v>12</v>
      </c>
      <c r="E577" t="s">
        <v>13</v>
      </c>
      <c r="F577">
        <v>140000</v>
      </c>
      <c r="G577" t="s">
        <v>19</v>
      </c>
      <c r="H577">
        <v>140000</v>
      </c>
      <c r="I577" t="s">
        <v>29</v>
      </c>
      <c r="J577">
        <v>100</v>
      </c>
      <c r="K577" t="s">
        <v>29</v>
      </c>
      <c r="L577" t="s">
        <v>25</v>
      </c>
    </row>
    <row r="578" spans="1:12">
      <c r="A578">
        <v>576</v>
      </c>
      <c r="B578">
        <v>2022</v>
      </c>
      <c r="C578" t="s">
        <v>17</v>
      </c>
      <c r="D578" t="s">
        <v>12</v>
      </c>
      <c r="E578" t="s">
        <v>13</v>
      </c>
      <c r="F578">
        <v>210000</v>
      </c>
      <c r="G578" t="s">
        <v>19</v>
      </c>
      <c r="H578">
        <v>210000</v>
      </c>
      <c r="I578" t="s">
        <v>29</v>
      </c>
      <c r="J578">
        <v>100</v>
      </c>
      <c r="K578" t="s">
        <v>29</v>
      </c>
      <c r="L578" t="s">
        <v>25</v>
      </c>
    </row>
    <row r="579" spans="1:12">
      <c r="A579">
        <v>577</v>
      </c>
      <c r="B579">
        <v>2022</v>
      </c>
      <c r="C579" t="s">
        <v>17</v>
      </c>
      <c r="D579" t="s">
        <v>12</v>
      </c>
      <c r="E579" t="s">
        <v>31</v>
      </c>
      <c r="F579">
        <v>150075</v>
      </c>
      <c r="G579" t="s">
        <v>19</v>
      </c>
      <c r="H579">
        <v>150075</v>
      </c>
      <c r="I579" t="s">
        <v>29</v>
      </c>
      <c r="J579">
        <v>100</v>
      </c>
      <c r="K579" t="s">
        <v>29</v>
      </c>
      <c r="L579" t="s">
        <v>25</v>
      </c>
    </row>
    <row r="580" spans="1:12">
      <c r="A580">
        <v>578</v>
      </c>
      <c r="B580">
        <v>2022</v>
      </c>
      <c r="C580" t="s">
        <v>17</v>
      </c>
      <c r="D580" t="s">
        <v>12</v>
      </c>
      <c r="E580" t="s">
        <v>43</v>
      </c>
      <c r="F580">
        <v>100000</v>
      </c>
      <c r="G580" t="s">
        <v>19</v>
      </c>
      <c r="H580">
        <v>100000</v>
      </c>
      <c r="I580" t="s">
        <v>29</v>
      </c>
      <c r="J580">
        <v>100</v>
      </c>
      <c r="K580" t="s">
        <v>29</v>
      </c>
      <c r="L580" t="s">
        <v>25</v>
      </c>
    </row>
    <row r="581" spans="1:12">
      <c r="A581">
        <v>579</v>
      </c>
      <c r="B581">
        <v>2022</v>
      </c>
      <c r="C581" t="s">
        <v>17</v>
      </c>
      <c r="D581" t="s">
        <v>12</v>
      </c>
      <c r="E581" t="s">
        <v>43</v>
      </c>
      <c r="F581">
        <v>25000</v>
      </c>
      <c r="G581" t="s">
        <v>19</v>
      </c>
      <c r="H581">
        <v>25000</v>
      </c>
      <c r="I581" t="s">
        <v>29</v>
      </c>
      <c r="J581">
        <v>100</v>
      </c>
      <c r="K581" t="s">
        <v>29</v>
      </c>
      <c r="L581" t="s">
        <v>25</v>
      </c>
    </row>
    <row r="582" spans="1:12">
      <c r="A582">
        <v>580</v>
      </c>
      <c r="B582">
        <v>2022</v>
      </c>
      <c r="C582" t="s">
        <v>17</v>
      </c>
      <c r="D582" t="s">
        <v>12</v>
      </c>
      <c r="E582" t="s">
        <v>31</v>
      </c>
      <c r="F582">
        <v>126500</v>
      </c>
      <c r="G582" t="s">
        <v>19</v>
      </c>
      <c r="H582">
        <v>126500</v>
      </c>
      <c r="I582" t="s">
        <v>29</v>
      </c>
      <c r="J582">
        <v>100</v>
      </c>
      <c r="K582" t="s">
        <v>29</v>
      </c>
      <c r="L582" t="s">
        <v>25</v>
      </c>
    </row>
    <row r="583" spans="1:12">
      <c r="A583">
        <v>581</v>
      </c>
      <c r="B583">
        <v>2022</v>
      </c>
      <c r="C583" t="s">
        <v>17</v>
      </c>
      <c r="D583" t="s">
        <v>12</v>
      </c>
      <c r="E583" t="s">
        <v>31</v>
      </c>
      <c r="F583">
        <v>106260</v>
      </c>
      <c r="G583" t="s">
        <v>19</v>
      </c>
      <c r="H583">
        <v>106260</v>
      </c>
      <c r="I583" t="s">
        <v>29</v>
      </c>
      <c r="J583">
        <v>100</v>
      </c>
      <c r="K583" t="s">
        <v>29</v>
      </c>
      <c r="L583" t="s">
        <v>25</v>
      </c>
    </row>
    <row r="584" spans="1:12">
      <c r="A584">
        <v>582</v>
      </c>
      <c r="B584">
        <v>2022</v>
      </c>
      <c r="C584" t="s">
        <v>17</v>
      </c>
      <c r="D584" t="s">
        <v>12</v>
      </c>
      <c r="E584" t="s">
        <v>43</v>
      </c>
      <c r="F584">
        <v>220110</v>
      </c>
      <c r="G584" t="s">
        <v>19</v>
      </c>
      <c r="H584">
        <v>220110</v>
      </c>
      <c r="I584" t="s">
        <v>29</v>
      </c>
      <c r="J584">
        <v>100</v>
      </c>
      <c r="K584" t="s">
        <v>29</v>
      </c>
      <c r="L584" t="s">
        <v>25</v>
      </c>
    </row>
    <row r="585" spans="1:12">
      <c r="A585">
        <v>583</v>
      </c>
      <c r="B585">
        <v>2022</v>
      </c>
      <c r="C585" t="s">
        <v>17</v>
      </c>
      <c r="D585" t="s">
        <v>12</v>
      </c>
      <c r="E585" t="s">
        <v>43</v>
      </c>
      <c r="F585">
        <v>160080</v>
      </c>
      <c r="G585" t="s">
        <v>19</v>
      </c>
      <c r="H585">
        <v>160080</v>
      </c>
      <c r="I585" t="s">
        <v>29</v>
      </c>
      <c r="J585">
        <v>100</v>
      </c>
      <c r="K585" t="s">
        <v>29</v>
      </c>
      <c r="L585" t="s">
        <v>25</v>
      </c>
    </row>
    <row r="586" spans="1:12">
      <c r="A586">
        <v>584</v>
      </c>
      <c r="B586">
        <v>2022</v>
      </c>
      <c r="C586" t="s">
        <v>17</v>
      </c>
      <c r="D586" t="s">
        <v>12</v>
      </c>
      <c r="E586" t="s">
        <v>31</v>
      </c>
      <c r="F586">
        <v>105000</v>
      </c>
      <c r="G586" t="s">
        <v>19</v>
      </c>
      <c r="H586">
        <v>105000</v>
      </c>
      <c r="I586" t="s">
        <v>29</v>
      </c>
      <c r="J586">
        <v>100</v>
      </c>
      <c r="K586" t="s">
        <v>29</v>
      </c>
      <c r="L586" t="s">
        <v>25</v>
      </c>
    </row>
    <row r="587" spans="1:12">
      <c r="A587">
        <v>585</v>
      </c>
      <c r="B587">
        <v>2022</v>
      </c>
      <c r="C587" t="s">
        <v>17</v>
      </c>
      <c r="D587" t="s">
        <v>12</v>
      </c>
      <c r="E587" t="s">
        <v>31</v>
      </c>
      <c r="F587">
        <v>110925</v>
      </c>
      <c r="G587" t="s">
        <v>19</v>
      </c>
      <c r="H587">
        <v>110925</v>
      </c>
      <c r="I587" t="s">
        <v>29</v>
      </c>
      <c r="J587">
        <v>100</v>
      </c>
      <c r="K587" t="s">
        <v>29</v>
      </c>
      <c r="L587" t="s">
        <v>25</v>
      </c>
    </row>
    <row r="588" spans="1:12">
      <c r="A588">
        <v>586</v>
      </c>
      <c r="B588">
        <v>2022</v>
      </c>
      <c r="C588" t="s">
        <v>11</v>
      </c>
      <c r="D588" t="s">
        <v>12</v>
      </c>
      <c r="E588" t="s">
        <v>31</v>
      </c>
      <c r="F588">
        <v>35000</v>
      </c>
      <c r="G588" t="s">
        <v>23</v>
      </c>
      <c r="H588">
        <v>45807</v>
      </c>
      <c r="I588" t="s">
        <v>24</v>
      </c>
      <c r="J588">
        <v>0</v>
      </c>
      <c r="K588" t="s">
        <v>24</v>
      </c>
      <c r="L588" t="s">
        <v>25</v>
      </c>
    </row>
    <row r="589" spans="1:12">
      <c r="A589">
        <v>587</v>
      </c>
      <c r="B589">
        <v>2022</v>
      </c>
      <c r="C589" t="s">
        <v>17</v>
      </c>
      <c r="D589" t="s">
        <v>12</v>
      </c>
      <c r="E589" t="s">
        <v>13</v>
      </c>
      <c r="F589">
        <v>140000</v>
      </c>
      <c r="G589" t="s">
        <v>19</v>
      </c>
      <c r="H589">
        <v>140000</v>
      </c>
      <c r="I589" t="s">
        <v>29</v>
      </c>
      <c r="J589">
        <v>100</v>
      </c>
      <c r="K589" t="s">
        <v>29</v>
      </c>
      <c r="L589" t="s">
        <v>25</v>
      </c>
    </row>
    <row r="590" spans="1:12">
      <c r="A590">
        <v>588</v>
      </c>
      <c r="B590">
        <v>2022</v>
      </c>
      <c r="C590" t="s">
        <v>17</v>
      </c>
      <c r="D590" t="s">
        <v>12</v>
      </c>
      <c r="E590" t="s">
        <v>31</v>
      </c>
      <c r="F590">
        <v>99000</v>
      </c>
      <c r="G590" t="s">
        <v>19</v>
      </c>
      <c r="H590">
        <v>99000</v>
      </c>
      <c r="I590" t="s">
        <v>29</v>
      </c>
      <c r="J590">
        <v>0</v>
      </c>
      <c r="K590" t="s">
        <v>29</v>
      </c>
      <c r="L590" t="s">
        <v>25</v>
      </c>
    </row>
    <row r="591" spans="1:12">
      <c r="A591">
        <v>589</v>
      </c>
      <c r="B591">
        <v>2022</v>
      </c>
      <c r="C591" t="s">
        <v>17</v>
      </c>
      <c r="D591" t="s">
        <v>12</v>
      </c>
      <c r="E591" t="s">
        <v>31</v>
      </c>
      <c r="F591">
        <v>60000</v>
      </c>
      <c r="G591" t="s">
        <v>19</v>
      </c>
      <c r="H591">
        <v>60000</v>
      </c>
      <c r="I591" t="s">
        <v>29</v>
      </c>
      <c r="J591">
        <v>100</v>
      </c>
      <c r="K591" t="s">
        <v>29</v>
      </c>
      <c r="L591" t="s">
        <v>25</v>
      </c>
    </row>
    <row r="592" spans="1:12">
      <c r="A592">
        <v>590</v>
      </c>
      <c r="B592">
        <v>2022</v>
      </c>
      <c r="C592" t="s">
        <v>17</v>
      </c>
      <c r="D592" t="s">
        <v>12</v>
      </c>
      <c r="E592" t="s">
        <v>109</v>
      </c>
      <c r="F592">
        <v>192564</v>
      </c>
      <c r="G592" t="s">
        <v>19</v>
      </c>
      <c r="H592">
        <v>192564</v>
      </c>
      <c r="I592" t="s">
        <v>29</v>
      </c>
      <c r="J592">
        <v>100</v>
      </c>
      <c r="K592" t="s">
        <v>29</v>
      </c>
      <c r="L592" t="s">
        <v>25</v>
      </c>
    </row>
    <row r="593" spans="1:12">
      <c r="A593">
        <v>591</v>
      </c>
      <c r="B593">
        <v>2022</v>
      </c>
      <c r="C593" t="s">
        <v>17</v>
      </c>
      <c r="D593" t="s">
        <v>12</v>
      </c>
      <c r="E593" t="s">
        <v>109</v>
      </c>
      <c r="F593">
        <v>144854</v>
      </c>
      <c r="G593" t="s">
        <v>19</v>
      </c>
      <c r="H593">
        <v>144854</v>
      </c>
      <c r="I593" t="s">
        <v>29</v>
      </c>
      <c r="J593">
        <v>100</v>
      </c>
      <c r="K593" t="s">
        <v>29</v>
      </c>
      <c r="L593" t="s">
        <v>25</v>
      </c>
    </row>
    <row r="594" spans="1:12">
      <c r="A594">
        <v>592</v>
      </c>
      <c r="B594">
        <v>2022</v>
      </c>
      <c r="C594" t="s">
        <v>17</v>
      </c>
      <c r="D594" t="s">
        <v>12</v>
      </c>
      <c r="E594" t="s">
        <v>13</v>
      </c>
      <c r="F594">
        <v>230000</v>
      </c>
      <c r="G594" t="s">
        <v>19</v>
      </c>
      <c r="H594">
        <v>230000</v>
      </c>
      <c r="I594" t="s">
        <v>29</v>
      </c>
      <c r="J594">
        <v>100</v>
      </c>
      <c r="K594" t="s">
        <v>29</v>
      </c>
      <c r="L594" t="s">
        <v>25</v>
      </c>
    </row>
    <row r="595" spans="1:12">
      <c r="A595">
        <v>593</v>
      </c>
      <c r="B595">
        <v>2022</v>
      </c>
      <c r="C595" t="s">
        <v>17</v>
      </c>
      <c r="D595" t="s">
        <v>12</v>
      </c>
      <c r="E595" t="s">
        <v>13</v>
      </c>
      <c r="F595">
        <v>150000</v>
      </c>
      <c r="G595" t="s">
        <v>19</v>
      </c>
      <c r="H595">
        <v>150000</v>
      </c>
      <c r="I595" t="s">
        <v>29</v>
      </c>
      <c r="J595">
        <v>100</v>
      </c>
      <c r="K595" t="s">
        <v>29</v>
      </c>
      <c r="L595" t="s">
        <v>25</v>
      </c>
    </row>
    <row r="596" spans="1:12">
      <c r="A596">
        <v>594</v>
      </c>
      <c r="B596">
        <v>2022</v>
      </c>
      <c r="C596" t="s">
        <v>17</v>
      </c>
      <c r="D596" t="s">
        <v>12</v>
      </c>
      <c r="E596" t="s">
        <v>105</v>
      </c>
      <c r="F596">
        <v>150260</v>
      </c>
      <c r="G596" t="s">
        <v>19</v>
      </c>
      <c r="H596">
        <v>150260</v>
      </c>
      <c r="I596" t="s">
        <v>29</v>
      </c>
      <c r="J596">
        <v>100</v>
      </c>
      <c r="K596" t="s">
        <v>29</v>
      </c>
      <c r="L596" t="s">
        <v>25</v>
      </c>
    </row>
    <row r="597" spans="1:12">
      <c r="A597">
        <v>595</v>
      </c>
      <c r="B597">
        <v>2022</v>
      </c>
      <c r="C597" t="s">
        <v>17</v>
      </c>
      <c r="D597" t="s">
        <v>12</v>
      </c>
      <c r="E597" t="s">
        <v>105</v>
      </c>
      <c r="F597">
        <v>109280</v>
      </c>
      <c r="G597" t="s">
        <v>19</v>
      </c>
      <c r="H597">
        <v>109280</v>
      </c>
      <c r="I597" t="s">
        <v>29</v>
      </c>
      <c r="J597">
        <v>100</v>
      </c>
      <c r="K597" t="s">
        <v>29</v>
      </c>
      <c r="L597" t="s">
        <v>25</v>
      </c>
    </row>
    <row r="598" spans="1:12">
      <c r="A598">
        <v>596</v>
      </c>
      <c r="B598">
        <v>2022</v>
      </c>
      <c r="C598" t="s">
        <v>17</v>
      </c>
      <c r="D598" t="s">
        <v>12</v>
      </c>
      <c r="E598" t="s">
        <v>13</v>
      </c>
      <c r="F598">
        <v>210000</v>
      </c>
      <c r="G598" t="s">
        <v>19</v>
      </c>
      <c r="H598">
        <v>210000</v>
      </c>
      <c r="I598" t="s">
        <v>29</v>
      </c>
      <c r="J598">
        <v>100</v>
      </c>
      <c r="K598" t="s">
        <v>29</v>
      </c>
      <c r="L598" t="s">
        <v>25</v>
      </c>
    </row>
    <row r="599" spans="1:12">
      <c r="A599">
        <v>597</v>
      </c>
      <c r="B599">
        <v>2022</v>
      </c>
      <c r="C599" t="s">
        <v>17</v>
      </c>
      <c r="D599" t="s">
        <v>12</v>
      </c>
      <c r="E599" t="s">
        <v>31</v>
      </c>
      <c r="F599">
        <v>170000</v>
      </c>
      <c r="G599" t="s">
        <v>19</v>
      </c>
      <c r="H599">
        <v>170000</v>
      </c>
      <c r="I599" t="s">
        <v>29</v>
      </c>
      <c r="J599">
        <v>100</v>
      </c>
      <c r="K599" t="s">
        <v>29</v>
      </c>
      <c r="L599" t="s">
        <v>25</v>
      </c>
    </row>
    <row r="600" spans="1:12">
      <c r="A600">
        <v>598</v>
      </c>
      <c r="B600">
        <v>2022</v>
      </c>
      <c r="C600" t="s">
        <v>11</v>
      </c>
      <c r="D600" t="s">
        <v>12</v>
      </c>
      <c r="E600" t="s">
        <v>13</v>
      </c>
      <c r="F600">
        <v>160000</v>
      </c>
      <c r="G600" t="s">
        <v>19</v>
      </c>
      <c r="H600">
        <v>160000</v>
      </c>
      <c r="I600" t="s">
        <v>29</v>
      </c>
      <c r="J600">
        <v>100</v>
      </c>
      <c r="K600" t="s">
        <v>29</v>
      </c>
      <c r="L600" t="s">
        <v>25</v>
      </c>
    </row>
    <row r="601" spans="1:12">
      <c r="A601">
        <v>599</v>
      </c>
      <c r="B601">
        <v>2022</v>
      </c>
      <c r="C601" t="s">
        <v>11</v>
      </c>
      <c r="D601" t="s">
        <v>12</v>
      </c>
      <c r="E601" t="s">
        <v>13</v>
      </c>
      <c r="F601">
        <v>130000</v>
      </c>
      <c r="G601" t="s">
        <v>19</v>
      </c>
      <c r="H601">
        <v>130000</v>
      </c>
      <c r="I601" t="s">
        <v>29</v>
      </c>
      <c r="J601">
        <v>100</v>
      </c>
      <c r="K601" t="s">
        <v>29</v>
      </c>
      <c r="L601" t="s">
        <v>25</v>
      </c>
    </row>
    <row r="602" spans="1:12">
      <c r="A602">
        <v>600</v>
      </c>
      <c r="B602">
        <v>2022</v>
      </c>
      <c r="C602" t="s">
        <v>30</v>
      </c>
      <c r="D602" t="s">
        <v>12</v>
      </c>
      <c r="E602" t="s">
        <v>31</v>
      </c>
      <c r="F602">
        <v>67000</v>
      </c>
      <c r="G602" t="s">
        <v>19</v>
      </c>
      <c r="H602">
        <v>67000</v>
      </c>
      <c r="I602" t="s">
        <v>62</v>
      </c>
      <c r="J602">
        <v>0</v>
      </c>
      <c r="K602" t="s">
        <v>62</v>
      </c>
      <c r="L602" t="s">
        <v>25</v>
      </c>
    </row>
    <row r="603" spans="1:12">
      <c r="A603">
        <v>601</v>
      </c>
      <c r="B603">
        <v>2022</v>
      </c>
      <c r="C603" t="s">
        <v>30</v>
      </c>
      <c r="D603" t="s">
        <v>12</v>
      </c>
      <c r="E603" t="s">
        <v>31</v>
      </c>
      <c r="F603">
        <v>52000</v>
      </c>
      <c r="G603" t="s">
        <v>19</v>
      </c>
      <c r="H603">
        <v>52000</v>
      </c>
      <c r="I603" t="s">
        <v>62</v>
      </c>
      <c r="J603">
        <v>0</v>
      </c>
      <c r="K603" t="s">
        <v>62</v>
      </c>
      <c r="L603" t="s">
        <v>25</v>
      </c>
    </row>
    <row r="604" spans="1:12">
      <c r="A604">
        <v>602</v>
      </c>
      <c r="B604">
        <v>2022</v>
      </c>
      <c r="C604" t="s">
        <v>17</v>
      </c>
      <c r="D604" t="s">
        <v>12</v>
      </c>
      <c r="E604" t="s">
        <v>43</v>
      </c>
      <c r="F604">
        <v>154000</v>
      </c>
      <c r="G604" t="s">
        <v>19</v>
      </c>
      <c r="H604">
        <v>154000</v>
      </c>
      <c r="I604" t="s">
        <v>29</v>
      </c>
      <c r="J604">
        <v>100</v>
      </c>
      <c r="K604" t="s">
        <v>29</v>
      </c>
      <c r="L604" t="s">
        <v>25</v>
      </c>
    </row>
    <row r="605" spans="1:12">
      <c r="A605">
        <v>603</v>
      </c>
      <c r="B605">
        <v>2022</v>
      </c>
      <c r="C605" t="s">
        <v>17</v>
      </c>
      <c r="D605" t="s">
        <v>12</v>
      </c>
      <c r="E605" t="s">
        <v>43</v>
      </c>
      <c r="F605">
        <v>126000</v>
      </c>
      <c r="G605" t="s">
        <v>19</v>
      </c>
      <c r="H605">
        <v>126000</v>
      </c>
      <c r="I605" t="s">
        <v>29</v>
      </c>
      <c r="J605">
        <v>100</v>
      </c>
      <c r="K605" t="s">
        <v>29</v>
      </c>
      <c r="L605" t="s">
        <v>25</v>
      </c>
    </row>
    <row r="606" spans="1:12">
      <c r="A606">
        <v>604</v>
      </c>
      <c r="B606">
        <v>2022</v>
      </c>
      <c r="C606" t="s">
        <v>17</v>
      </c>
      <c r="D606" t="s">
        <v>12</v>
      </c>
      <c r="E606" t="s">
        <v>31</v>
      </c>
      <c r="F606">
        <v>129000</v>
      </c>
      <c r="G606" t="s">
        <v>19</v>
      </c>
      <c r="H606">
        <v>129000</v>
      </c>
      <c r="I606" t="s">
        <v>29</v>
      </c>
      <c r="J606">
        <v>0</v>
      </c>
      <c r="K606" t="s">
        <v>29</v>
      </c>
      <c r="L606" t="s">
        <v>25</v>
      </c>
    </row>
    <row r="607" spans="1:12">
      <c r="A607">
        <v>605</v>
      </c>
      <c r="B607">
        <v>2022</v>
      </c>
      <c r="C607" t="s">
        <v>17</v>
      </c>
      <c r="D607" t="s">
        <v>12</v>
      </c>
      <c r="E607" t="s">
        <v>31</v>
      </c>
      <c r="F607">
        <v>150000</v>
      </c>
      <c r="G607" t="s">
        <v>19</v>
      </c>
      <c r="H607">
        <v>150000</v>
      </c>
      <c r="I607" t="s">
        <v>29</v>
      </c>
      <c r="J607">
        <v>100</v>
      </c>
      <c r="K607" t="s">
        <v>29</v>
      </c>
      <c r="L607" t="s">
        <v>25</v>
      </c>
    </row>
    <row r="608" spans="1:12">
      <c r="A608">
        <v>606</v>
      </c>
      <c r="B608">
        <v>2022</v>
      </c>
      <c r="C608" t="s">
        <v>11</v>
      </c>
      <c r="D608" t="s">
        <v>12</v>
      </c>
      <c r="E608" t="s">
        <v>70</v>
      </c>
      <c r="F608">
        <v>200000</v>
      </c>
      <c r="G608" t="s">
        <v>19</v>
      </c>
      <c r="H608">
        <v>200000</v>
      </c>
      <c r="I608" t="s">
        <v>40</v>
      </c>
      <c r="J608">
        <v>100</v>
      </c>
      <c r="K608" t="s">
        <v>29</v>
      </c>
      <c r="L608" t="s">
        <v>16</v>
      </c>
    </row>
  </sheetData>
  <autoFilter ref="A1:L6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0" sqref="B10"/>
    </sheetView>
  </sheetViews>
  <sheetFormatPr defaultRowHeight="15"/>
  <cols>
    <col min="1" max="1" width="20.5703125" style="3" bestFit="1" customWidth="1"/>
    <col min="2" max="2" width="175.28515625" style="3" bestFit="1" customWidth="1"/>
  </cols>
  <sheetData>
    <row r="1" spans="1:2" ht="15.75" thickBot="1">
      <c r="A1" s="1" t="s">
        <v>147</v>
      </c>
      <c r="B1" s="1" t="s">
        <v>148</v>
      </c>
    </row>
    <row r="2" spans="1:2" ht="15.75" thickBot="1">
      <c r="A2" s="2" t="s">
        <v>0</v>
      </c>
      <c r="B2" s="2" t="s">
        <v>149</v>
      </c>
    </row>
    <row r="3" spans="1:2" ht="15.75" thickBot="1">
      <c r="A3" s="2" t="s">
        <v>1</v>
      </c>
      <c r="B3" s="2" t="s">
        <v>150</v>
      </c>
    </row>
    <row r="4" spans="1:2" ht="15.75" thickBot="1">
      <c r="A4" s="2" t="s">
        <v>2</v>
      </c>
      <c r="B4" s="2" t="s">
        <v>151</v>
      </c>
    </row>
    <row r="5" spans="1:2" ht="15.75" thickBot="1">
      <c r="A5" s="2" t="s">
        <v>3</v>
      </c>
      <c r="B5" s="2" t="s">
        <v>152</v>
      </c>
    </row>
    <row r="6" spans="1:2" ht="15.75" thickBot="1">
      <c r="A6" s="2" t="s">
        <v>4</v>
      </c>
      <c r="B6" s="2" t="s">
        <v>153</v>
      </c>
    </row>
    <row r="7" spans="1:2" ht="15.75" thickBot="1">
      <c r="A7" s="2" t="s">
        <v>5</v>
      </c>
      <c r="B7" s="2" t="s">
        <v>154</v>
      </c>
    </row>
    <row r="8" spans="1:2" ht="15.75" thickBot="1">
      <c r="A8" s="2" t="s">
        <v>155</v>
      </c>
      <c r="B8" s="2" t="s">
        <v>156</v>
      </c>
    </row>
    <row r="9" spans="1:2" ht="15.75" thickBot="1">
      <c r="A9" s="2" t="s">
        <v>7</v>
      </c>
      <c r="B9" s="2" t="s">
        <v>157</v>
      </c>
    </row>
    <row r="10" spans="1:2" ht="15.75" thickBot="1">
      <c r="A10" s="2" t="s">
        <v>8</v>
      </c>
      <c r="B10" s="2" t="s">
        <v>158</v>
      </c>
    </row>
    <row r="11" spans="1:2" ht="15.75" thickBot="1">
      <c r="A11" s="2" t="s">
        <v>9</v>
      </c>
      <c r="B11" s="2" t="s">
        <v>159</v>
      </c>
    </row>
    <row r="12" spans="1:2" ht="15.75" thickBot="1">
      <c r="A12" s="2" t="s">
        <v>10</v>
      </c>
      <c r="B12" s="2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8"/>
  <sheetViews>
    <sheetView zoomScaleNormal="100" workbookViewId="0">
      <selection activeCell="I3" sqref="I3"/>
    </sheetView>
  </sheetViews>
  <sheetFormatPr defaultRowHeight="15"/>
  <cols>
    <col min="1" max="1" width="10.42578125" customWidth="1"/>
    <col min="2" max="2" width="12.140625" customWidth="1"/>
    <col min="3" max="3" width="17.28515625" customWidth="1"/>
    <col min="4" max="4" width="18.42578125" hidden="1" customWidth="1"/>
    <col min="5" max="5" width="18.42578125" customWidth="1"/>
    <col min="6" max="6" width="38.42578125" hidden="1" customWidth="1"/>
    <col min="7" max="7" width="17.140625" customWidth="1"/>
    <col min="8" max="8" width="16.28515625" customWidth="1"/>
    <col min="9" max="9" width="14.5703125" customWidth="1"/>
    <col min="10" max="10" width="20.28515625" customWidth="1"/>
    <col min="11" max="11" width="14.140625" customWidth="1"/>
    <col min="12" max="12" width="18.28515625" customWidth="1"/>
    <col min="13" max="13" width="15" customWidth="1"/>
    <col min="14" max="14" width="0" hidden="1" customWidth="1"/>
    <col min="16" max="16" width="10" customWidth="1"/>
    <col min="17" max="17" width="13" customWidth="1"/>
    <col min="18" max="18" width="12.7109375" customWidth="1"/>
    <col min="19" max="19" width="12.42578125" customWidth="1"/>
  </cols>
  <sheetData>
    <row r="1" spans="1:18">
      <c r="A1" t="s">
        <v>166</v>
      </c>
      <c r="B1" t="s">
        <v>0</v>
      </c>
      <c r="C1" t="s">
        <v>172</v>
      </c>
      <c r="D1" t="s">
        <v>1</v>
      </c>
      <c r="E1" t="s">
        <v>180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186</v>
      </c>
      <c r="Q1" t="s">
        <v>161</v>
      </c>
      <c r="R1" t="s">
        <v>162</v>
      </c>
    </row>
    <row r="2" spans="1:18">
      <c r="A2">
        <v>252</v>
      </c>
      <c r="B2">
        <v>2021</v>
      </c>
      <c r="C2" t="str">
        <f>VLOOKUP(SalaryInfo[[#This Row],[experience_level]],Experience[],2,FALSE)</f>
        <v>Director</v>
      </c>
      <c r="D2" t="s">
        <v>53</v>
      </c>
      <c r="E2" t="str">
        <f>VLOOKUP(SalaryInfo[[#This Row],[employment_type]],EmpType[],2,FALSE)</f>
        <v>Full Time</v>
      </c>
      <c r="F2" t="s">
        <v>12</v>
      </c>
      <c r="G2" t="s">
        <v>97</v>
      </c>
      <c r="H2">
        <v>600000</v>
      </c>
      <c r="I2" t="s">
        <v>19</v>
      </c>
      <c r="J2">
        <v>600000</v>
      </c>
      <c r="K2" t="s">
        <v>29</v>
      </c>
      <c r="L2">
        <v>100</v>
      </c>
      <c r="M2" t="s">
        <v>29</v>
      </c>
      <c r="N2" t="s">
        <v>16</v>
      </c>
      <c r="O2" t="str">
        <f>VLOOKUP(SalaryInfo[[#This Row],[company_size]],CompanySize[],2,FALSE)</f>
        <v>Large</v>
      </c>
      <c r="Q2" t="s">
        <v>30</v>
      </c>
      <c r="R2" t="s">
        <v>163</v>
      </c>
    </row>
    <row r="3" spans="1:18">
      <c r="A3">
        <v>33</v>
      </c>
      <c r="B3">
        <v>2020</v>
      </c>
      <c r="C3" t="str">
        <f>VLOOKUP(SalaryInfo[[#This Row],[experience_level]],Experience[],2,FALSE)</f>
        <v>Intermediate</v>
      </c>
      <c r="D3" t="s">
        <v>11</v>
      </c>
      <c r="E3" t="str">
        <f>VLOOKUP(SalaryInfo[[#This Row],[employment_type]],EmpType[],2,FALSE)</f>
        <v>Full Time</v>
      </c>
      <c r="F3" t="s">
        <v>12</v>
      </c>
      <c r="G3" t="s">
        <v>55</v>
      </c>
      <c r="H3">
        <v>450000</v>
      </c>
      <c r="I3" t="s">
        <v>19</v>
      </c>
      <c r="J3">
        <v>450000</v>
      </c>
      <c r="K3" t="s">
        <v>29</v>
      </c>
      <c r="L3">
        <v>0</v>
      </c>
      <c r="M3" t="s">
        <v>29</v>
      </c>
      <c r="N3" t="s">
        <v>25</v>
      </c>
      <c r="O3" t="str">
        <f>VLOOKUP(SalaryInfo[[#This Row],[company_size]],CompanySize[],2,FALSE)</f>
        <v>Medium</v>
      </c>
      <c r="Q3" t="s">
        <v>11</v>
      </c>
      <c r="R3" t="s">
        <v>164</v>
      </c>
    </row>
    <row r="4" spans="1:18">
      <c r="A4">
        <v>97</v>
      </c>
      <c r="B4">
        <v>2021</v>
      </c>
      <c r="C4" t="str">
        <f>VLOOKUP(SalaryInfo[[#This Row],[experience_level]],Experience[],2,FALSE)</f>
        <v>Intermediate</v>
      </c>
      <c r="D4" t="s">
        <v>11</v>
      </c>
      <c r="E4" t="str">
        <f>VLOOKUP(SalaryInfo[[#This Row],[employment_type]],EmpType[],2,FALSE)</f>
        <v>Full Time</v>
      </c>
      <c r="F4" t="s">
        <v>12</v>
      </c>
      <c r="G4" t="s">
        <v>92</v>
      </c>
      <c r="H4">
        <v>450000</v>
      </c>
      <c r="I4" t="s">
        <v>19</v>
      </c>
      <c r="J4">
        <v>450000</v>
      </c>
      <c r="K4" t="s">
        <v>29</v>
      </c>
      <c r="L4">
        <v>100</v>
      </c>
      <c r="M4" t="s">
        <v>29</v>
      </c>
      <c r="N4" t="s">
        <v>16</v>
      </c>
      <c r="O4" t="str">
        <f>VLOOKUP(SalaryInfo[[#This Row],[company_size]],CompanySize[],2,FALSE)</f>
        <v>Large</v>
      </c>
      <c r="Q4" t="s">
        <v>17</v>
      </c>
      <c r="R4" t="s">
        <v>173</v>
      </c>
    </row>
    <row r="5" spans="1:18">
      <c r="A5">
        <v>157</v>
      </c>
      <c r="B5">
        <v>2021</v>
      </c>
      <c r="C5" t="str">
        <f>VLOOKUP(SalaryInfo[[#This Row],[experience_level]],Experience[],2,FALSE)</f>
        <v>Intermediate</v>
      </c>
      <c r="D5" t="s">
        <v>11</v>
      </c>
      <c r="E5" t="str">
        <f>VLOOKUP(SalaryInfo[[#This Row],[employment_type]],EmpType[],2,FALSE)</f>
        <v>Full Time</v>
      </c>
      <c r="F5" t="s">
        <v>12</v>
      </c>
      <c r="G5" t="s">
        <v>100</v>
      </c>
      <c r="H5">
        <v>423000</v>
      </c>
      <c r="I5" t="s">
        <v>19</v>
      </c>
      <c r="J5">
        <v>423000</v>
      </c>
      <c r="K5" t="s">
        <v>29</v>
      </c>
      <c r="L5">
        <v>50</v>
      </c>
      <c r="M5" t="s">
        <v>29</v>
      </c>
      <c r="N5" t="s">
        <v>16</v>
      </c>
      <c r="O5" t="str">
        <f>VLOOKUP(SalaryInfo[[#This Row],[company_size]],CompanySize[],2,FALSE)</f>
        <v>Large</v>
      </c>
      <c r="Q5" t="s">
        <v>53</v>
      </c>
      <c r="R5" t="s">
        <v>165</v>
      </c>
    </row>
    <row r="6" spans="1:18">
      <c r="A6">
        <v>225</v>
      </c>
      <c r="B6">
        <v>2021</v>
      </c>
      <c r="C6" t="str">
        <f>VLOOKUP(SalaryInfo[[#This Row],[experience_level]],Experience[],2,FALSE)</f>
        <v>Director</v>
      </c>
      <c r="D6" t="s">
        <v>53</v>
      </c>
      <c r="E6" t="str">
        <f>VLOOKUP(SalaryInfo[[#This Row],[employment_type]],EmpType[],2,FALSE)</f>
        <v>Contract</v>
      </c>
      <c r="F6" t="s">
        <v>59</v>
      </c>
      <c r="G6" t="s">
        <v>76</v>
      </c>
      <c r="H6">
        <v>416000</v>
      </c>
      <c r="I6" t="s">
        <v>19</v>
      </c>
      <c r="J6">
        <v>416000</v>
      </c>
      <c r="K6" t="s">
        <v>29</v>
      </c>
      <c r="L6">
        <v>100</v>
      </c>
      <c r="M6" t="s">
        <v>29</v>
      </c>
      <c r="N6" t="s">
        <v>21</v>
      </c>
      <c r="O6" t="str">
        <f>VLOOKUP(SalaryInfo[[#This Row],[company_size]],CompanySize[],2,FALSE)</f>
        <v>Small</v>
      </c>
    </row>
    <row r="7" spans="1:18">
      <c r="A7">
        <v>63</v>
      </c>
      <c r="B7">
        <v>2020</v>
      </c>
      <c r="C7" t="str">
        <f>VLOOKUP(SalaryInfo[[#This Row],[experience_level]],Experience[],2,FALSE)</f>
        <v>Senior</v>
      </c>
      <c r="D7" t="s">
        <v>17</v>
      </c>
      <c r="E7" t="str">
        <f>VLOOKUP(SalaryInfo[[#This Row],[employment_type]],EmpType[],2,FALSE)</f>
        <v>Full Time</v>
      </c>
      <c r="F7" t="s">
        <v>12</v>
      </c>
      <c r="G7" t="s">
        <v>13</v>
      </c>
      <c r="H7">
        <v>412000</v>
      </c>
      <c r="I7" t="s">
        <v>19</v>
      </c>
      <c r="J7">
        <v>412000</v>
      </c>
      <c r="K7" t="s">
        <v>29</v>
      </c>
      <c r="L7">
        <v>100</v>
      </c>
      <c r="M7" t="s">
        <v>29</v>
      </c>
      <c r="N7" t="s">
        <v>16</v>
      </c>
      <c r="O7" t="str">
        <f>VLOOKUP(SalaryInfo[[#This Row],[company_size]],CompanySize[],2,FALSE)</f>
        <v>Large</v>
      </c>
    </row>
    <row r="8" spans="1:18">
      <c r="A8">
        <v>523</v>
      </c>
      <c r="B8">
        <v>2022</v>
      </c>
      <c r="C8" t="str">
        <f>VLOOKUP(SalaryInfo[[#This Row],[experience_level]],Experience[],2,FALSE)</f>
        <v>Senior</v>
      </c>
      <c r="D8" t="s">
        <v>17</v>
      </c>
      <c r="E8" t="str">
        <f>VLOOKUP(SalaryInfo[[#This Row],[employment_type]],EmpType[],2,FALSE)</f>
        <v>Full Time</v>
      </c>
      <c r="F8" t="s">
        <v>12</v>
      </c>
      <c r="G8" t="s">
        <v>146</v>
      </c>
      <c r="H8">
        <v>405000</v>
      </c>
      <c r="I8" t="s">
        <v>19</v>
      </c>
      <c r="J8">
        <v>405000</v>
      </c>
      <c r="K8" t="s">
        <v>29</v>
      </c>
      <c r="L8">
        <v>100</v>
      </c>
      <c r="M8" t="s">
        <v>29</v>
      </c>
      <c r="N8" t="s">
        <v>16</v>
      </c>
      <c r="O8" t="str">
        <f>VLOOKUP(SalaryInfo[[#This Row],[company_size]],CompanySize[],2,FALSE)</f>
        <v>Large</v>
      </c>
      <c r="Q8" t="s">
        <v>167</v>
      </c>
      <c r="R8" t="s">
        <v>168</v>
      </c>
    </row>
    <row r="9" spans="1:18">
      <c r="A9">
        <v>519</v>
      </c>
      <c r="B9">
        <v>2022</v>
      </c>
      <c r="C9" t="str">
        <f>VLOOKUP(SalaryInfo[[#This Row],[experience_level]],Experience[],2,FALSE)</f>
        <v>Senior</v>
      </c>
      <c r="D9" t="s">
        <v>17</v>
      </c>
      <c r="E9" t="str">
        <f>VLOOKUP(SalaryInfo[[#This Row],[employment_type]],EmpType[],2,FALSE)</f>
        <v>Full Time</v>
      </c>
      <c r="F9" t="s">
        <v>12</v>
      </c>
      <c r="G9" t="s">
        <v>84</v>
      </c>
      <c r="H9">
        <v>380000</v>
      </c>
      <c r="I9" t="s">
        <v>19</v>
      </c>
      <c r="J9">
        <v>380000</v>
      </c>
      <c r="K9" t="s">
        <v>29</v>
      </c>
      <c r="L9">
        <v>100</v>
      </c>
      <c r="M9" t="s">
        <v>29</v>
      </c>
      <c r="N9" t="s">
        <v>16</v>
      </c>
      <c r="O9" t="str">
        <f>VLOOKUP(SalaryInfo[[#This Row],[company_size]],CompanySize[],2,FALSE)</f>
        <v>Large</v>
      </c>
      <c r="Q9" t="s">
        <v>21</v>
      </c>
      <c r="R9" t="s">
        <v>169</v>
      </c>
    </row>
    <row r="10" spans="1:18">
      <c r="A10">
        <v>25</v>
      </c>
      <c r="B10">
        <v>2020</v>
      </c>
      <c r="C10" t="str">
        <f>VLOOKUP(SalaryInfo[[#This Row],[experience_level]],Experience[],2,FALSE)</f>
        <v>Director</v>
      </c>
      <c r="D10" t="s">
        <v>53</v>
      </c>
      <c r="E10" t="str">
        <f>VLOOKUP(SalaryInfo[[#This Row],[employment_type]],EmpType[],2,FALSE)</f>
        <v>Full Time</v>
      </c>
      <c r="F10" t="s">
        <v>12</v>
      </c>
      <c r="G10" t="s">
        <v>54</v>
      </c>
      <c r="H10">
        <v>325000</v>
      </c>
      <c r="I10" t="s">
        <v>19</v>
      </c>
      <c r="J10">
        <v>325000</v>
      </c>
      <c r="K10" t="s">
        <v>29</v>
      </c>
      <c r="L10">
        <v>100</v>
      </c>
      <c r="M10" t="s">
        <v>29</v>
      </c>
      <c r="N10" t="s">
        <v>16</v>
      </c>
      <c r="O10" t="str">
        <f>VLOOKUP(SalaryInfo[[#This Row],[company_size]],CompanySize[],2,FALSE)</f>
        <v>Large</v>
      </c>
      <c r="Q10" t="s">
        <v>25</v>
      </c>
      <c r="R10" t="s">
        <v>170</v>
      </c>
    </row>
    <row r="11" spans="1:18">
      <c r="A11">
        <v>482</v>
      </c>
      <c r="B11">
        <v>2022</v>
      </c>
      <c r="C11" t="str">
        <f>VLOOKUP(SalaryInfo[[#This Row],[experience_level]],Experience[],2,FALSE)</f>
        <v>Director</v>
      </c>
      <c r="D11" t="s">
        <v>53</v>
      </c>
      <c r="E11" t="str">
        <f>VLOOKUP(SalaryInfo[[#This Row],[employment_type]],EmpType[],2,FALSE)</f>
        <v>Full Time</v>
      </c>
      <c r="F11" t="s">
        <v>12</v>
      </c>
      <c r="G11" t="s">
        <v>43</v>
      </c>
      <c r="H11">
        <v>324000</v>
      </c>
      <c r="I11" t="s">
        <v>19</v>
      </c>
      <c r="J11">
        <v>324000</v>
      </c>
      <c r="K11" t="s">
        <v>29</v>
      </c>
      <c r="L11">
        <v>100</v>
      </c>
      <c r="M11" t="s">
        <v>29</v>
      </c>
      <c r="N11" t="s">
        <v>25</v>
      </c>
      <c r="O11" t="str">
        <f>VLOOKUP(SalaryInfo[[#This Row],[company_size]],CompanySize[],2,FALSE)</f>
        <v>Medium</v>
      </c>
      <c r="Q11" t="s">
        <v>16</v>
      </c>
      <c r="R11" t="s">
        <v>171</v>
      </c>
    </row>
    <row r="12" spans="1:18">
      <c r="A12">
        <v>93</v>
      </c>
      <c r="B12">
        <v>2021</v>
      </c>
      <c r="C12" t="str">
        <f>VLOOKUP(SalaryInfo[[#This Row],[experience_level]],Experience[],2,FALSE)</f>
        <v>Senior</v>
      </c>
      <c r="D12" t="s">
        <v>17</v>
      </c>
      <c r="E12" t="str">
        <f>VLOOKUP(SalaryInfo[[#This Row],[employment_type]],EmpType[],2,FALSE)</f>
        <v>Full Time</v>
      </c>
      <c r="F12" t="s">
        <v>12</v>
      </c>
      <c r="G12" t="s">
        <v>36</v>
      </c>
      <c r="H12">
        <v>276000</v>
      </c>
      <c r="I12" t="s">
        <v>19</v>
      </c>
      <c r="J12">
        <v>276000</v>
      </c>
      <c r="K12" t="s">
        <v>29</v>
      </c>
      <c r="L12">
        <v>0</v>
      </c>
      <c r="M12" t="s">
        <v>29</v>
      </c>
      <c r="N12" t="s">
        <v>16</v>
      </c>
      <c r="O12" t="str">
        <f>VLOOKUP(SalaryInfo[[#This Row],[company_size]],CompanySize[],2,FALSE)</f>
        <v>Large</v>
      </c>
    </row>
    <row r="13" spans="1:18">
      <c r="A13">
        <v>78</v>
      </c>
      <c r="B13">
        <v>2021</v>
      </c>
      <c r="C13" t="str">
        <f>VLOOKUP(SalaryInfo[[#This Row],[experience_level]],Experience[],2,FALSE)</f>
        <v>Intermediate</v>
      </c>
      <c r="D13" t="s">
        <v>11</v>
      </c>
      <c r="E13" t="str">
        <f>VLOOKUP(SalaryInfo[[#This Row],[employment_type]],EmpType[],2,FALSE)</f>
        <v>Contract</v>
      </c>
      <c r="F13" t="s">
        <v>59</v>
      </c>
      <c r="G13" t="s">
        <v>69</v>
      </c>
      <c r="H13">
        <v>270000</v>
      </c>
      <c r="I13" t="s">
        <v>19</v>
      </c>
      <c r="J13">
        <v>270000</v>
      </c>
      <c r="K13" t="s">
        <v>29</v>
      </c>
      <c r="L13">
        <v>100</v>
      </c>
      <c r="M13" t="s">
        <v>29</v>
      </c>
      <c r="N13" t="s">
        <v>16</v>
      </c>
      <c r="O13" t="str">
        <f>VLOOKUP(SalaryInfo[[#This Row],[company_size]],CompanySize[],2,FALSE)</f>
        <v>Large</v>
      </c>
    </row>
    <row r="14" spans="1:18">
      <c r="A14">
        <v>534</v>
      </c>
      <c r="B14">
        <v>2022</v>
      </c>
      <c r="C14" t="str">
        <f>VLOOKUP(SalaryInfo[[#This Row],[experience_level]],Experience[],2,FALSE)</f>
        <v>Senior</v>
      </c>
      <c r="D14" t="s">
        <v>17</v>
      </c>
      <c r="E14" t="str">
        <f>VLOOKUP(SalaryInfo[[#This Row],[employment_type]],EmpType[],2,FALSE)</f>
        <v>Full Time</v>
      </c>
      <c r="F14" t="s">
        <v>12</v>
      </c>
      <c r="G14" t="s">
        <v>109</v>
      </c>
      <c r="H14">
        <v>266400</v>
      </c>
      <c r="I14" t="s">
        <v>19</v>
      </c>
      <c r="J14">
        <v>266400</v>
      </c>
      <c r="K14" t="s">
        <v>29</v>
      </c>
      <c r="L14">
        <v>100</v>
      </c>
      <c r="M14" t="s">
        <v>29</v>
      </c>
      <c r="N14" t="s">
        <v>25</v>
      </c>
      <c r="O14" t="str">
        <f>VLOOKUP(SalaryInfo[[#This Row],[company_size]],CompanySize[],2,FALSE)</f>
        <v>Medium</v>
      </c>
      <c r="Q14" t="s">
        <v>174</v>
      </c>
      <c r="R14" t="s">
        <v>175</v>
      </c>
    </row>
    <row r="15" spans="1:18">
      <c r="A15">
        <v>1</v>
      </c>
      <c r="B15">
        <v>2020</v>
      </c>
      <c r="C15" t="str">
        <f>VLOOKUP(SalaryInfo[[#This Row],[experience_level]],Experience[],2,FALSE)</f>
        <v>Senior</v>
      </c>
      <c r="D15" t="s">
        <v>17</v>
      </c>
      <c r="E15" t="str">
        <f>VLOOKUP(SalaryInfo[[#This Row],[employment_type]],EmpType[],2,FALSE)</f>
        <v>Full Time</v>
      </c>
      <c r="F15" t="s">
        <v>12</v>
      </c>
      <c r="G15" t="s">
        <v>18</v>
      </c>
      <c r="H15">
        <v>260000</v>
      </c>
      <c r="I15" t="s">
        <v>19</v>
      </c>
      <c r="J15">
        <v>260000</v>
      </c>
      <c r="K15" t="s">
        <v>20</v>
      </c>
      <c r="L15">
        <v>0</v>
      </c>
      <c r="M15" t="s">
        <v>20</v>
      </c>
      <c r="N15" t="s">
        <v>21</v>
      </c>
      <c r="O15" t="str">
        <f>VLOOKUP(SalaryInfo[[#This Row],[company_size]],CompanySize[],2,FALSE)</f>
        <v>Small</v>
      </c>
      <c r="Q15" t="s">
        <v>47</v>
      </c>
      <c r="R15" t="s">
        <v>176</v>
      </c>
    </row>
    <row r="16" spans="1:18">
      <c r="A16">
        <v>416</v>
      </c>
      <c r="B16">
        <v>2022</v>
      </c>
      <c r="C16" t="str">
        <f>VLOOKUP(SalaryInfo[[#This Row],[experience_level]],Experience[],2,FALSE)</f>
        <v>Senior</v>
      </c>
      <c r="D16" t="s">
        <v>17</v>
      </c>
      <c r="E16" t="str">
        <f>VLOOKUP(SalaryInfo[[#This Row],[employment_type]],EmpType[],2,FALSE)</f>
        <v>Full Time</v>
      </c>
      <c r="F16" t="s">
        <v>12</v>
      </c>
      <c r="G16" t="s">
        <v>13</v>
      </c>
      <c r="H16">
        <v>260000</v>
      </c>
      <c r="I16" t="s">
        <v>19</v>
      </c>
      <c r="J16">
        <v>260000</v>
      </c>
      <c r="K16" t="s">
        <v>29</v>
      </c>
      <c r="L16">
        <v>100</v>
      </c>
      <c r="M16" t="s">
        <v>29</v>
      </c>
      <c r="N16" t="s">
        <v>25</v>
      </c>
      <c r="O16" t="str">
        <f>VLOOKUP(SalaryInfo[[#This Row],[company_size]],CompanySize[],2,FALSE)</f>
        <v>Medium</v>
      </c>
      <c r="Q16" t="s">
        <v>12</v>
      </c>
      <c r="R16" t="s">
        <v>177</v>
      </c>
    </row>
    <row r="17" spans="1:19">
      <c r="A17">
        <v>231</v>
      </c>
      <c r="B17">
        <v>2021</v>
      </c>
      <c r="C17" t="str">
        <f>VLOOKUP(SalaryInfo[[#This Row],[experience_level]],Experience[],2,FALSE)</f>
        <v>Senior</v>
      </c>
      <c r="D17" t="s">
        <v>17</v>
      </c>
      <c r="E17" t="str">
        <f>VLOOKUP(SalaryInfo[[#This Row],[employment_type]],EmpType[],2,FALSE)</f>
        <v>Full Time</v>
      </c>
      <c r="F17" t="s">
        <v>12</v>
      </c>
      <c r="G17" t="s">
        <v>69</v>
      </c>
      <c r="H17">
        <v>256000</v>
      </c>
      <c r="I17" t="s">
        <v>19</v>
      </c>
      <c r="J17">
        <v>256000</v>
      </c>
      <c r="K17" t="s">
        <v>29</v>
      </c>
      <c r="L17">
        <v>100</v>
      </c>
      <c r="M17" t="s">
        <v>29</v>
      </c>
      <c r="N17" t="s">
        <v>21</v>
      </c>
      <c r="O17" t="str">
        <f>VLOOKUP(SalaryInfo[[#This Row],[company_size]],CompanySize[],2,FALSE)</f>
        <v>Small</v>
      </c>
      <c r="Q17" t="s">
        <v>59</v>
      </c>
      <c r="R17" t="s">
        <v>178</v>
      </c>
    </row>
    <row r="18" spans="1:19">
      <c r="A18">
        <v>37</v>
      </c>
      <c r="B18">
        <v>2020</v>
      </c>
      <c r="C18" t="str">
        <f>VLOOKUP(SalaryInfo[[#This Row],[experience_level]],Experience[],2,FALSE)</f>
        <v>Junior</v>
      </c>
      <c r="D18" t="s">
        <v>30</v>
      </c>
      <c r="E18" t="str">
        <f>VLOOKUP(SalaryInfo[[#This Row],[employment_type]],EmpType[],2,FALSE)</f>
        <v>Full Time</v>
      </c>
      <c r="F18" t="s">
        <v>12</v>
      </c>
      <c r="G18" t="s">
        <v>28</v>
      </c>
      <c r="H18">
        <v>250000</v>
      </c>
      <c r="I18" t="s">
        <v>19</v>
      </c>
      <c r="J18">
        <v>250000</v>
      </c>
      <c r="K18" t="s">
        <v>29</v>
      </c>
      <c r="L18">
        <v>50</v>
      </c>
      <c r="M18" t="s">
        <v>29</v>
      </c>
      <c r="N18" t="s">
        <v>16</v>
      </c>
      <c r="O18" t="str">
        <f>VLOOKUP(SalaryInfo[[#This Row],[company_size]],CompanySize[],2,FALSE)</f>
        <v>Large</v>
      </c>
      <c r="Q18" t="s">
        <v>73</v>
      </c>
      <c r="R18" t="s">
        <v>179</v>
      </c>
    </row>
    <row r="19" spans="1:19">
      <c r="A19">
        <v>167</v>
      </c>
      <c r="B19">
        <v>2021</v>
      </c>
      <c r="C19" t="str">
        <f>VLOOKUP(SalaryInfo[[#This Row],[experience_level]],Experience[],2,FALSE)</f>
        <v>Director</v>
      </c>
      <c r="D19" t="s">
        <v>53</v>
      </c>
      <c r="E19" t="str">
        <f>VLOOKUP(SalaryInfo[[#This Row],[employment_type]],EmpType[],2,FALSE)</f>
        <v>Full Time</v>
      </c>
      <c r="F19" t="s">
        <v>12</v>
      </c>
      <c r="G19" t="s">
        <v>54</v>
      </c>
      <c r="H19">
        <v>250000</v>
      </c>
      <c r="I19" t="s">
        <v>19</v>
      </c>
      <c r="J19">
        <v>250000</v>
      </c>
      <c r="K19" t="s">
        <v>29</v>
      </c>
      <c r="L19">
        <v>0</v>
      </c>
      <c r="M19" t="s">
        <v>29</v>
      </c>
      <c r="N19" t="s">
        <v>16</v>
      </c>
      <c r="O19" t="str">
        <f>VLOOKUP(SalaryInfo[[#This Row],[company_size]],CompanySize[],2,FALSE)</f>
        <v>Large</v>
      </c>
    </row>
    <row r="20" spans="1:19">
      <c r="A20">
        <v>337</v>
      </c>
      <c r="B20">
        <v>2022</v>
      </c>
      <c r="C20" t="str">
        <f>VLOOKUP(SalaryInfo[[#This Row],[experience_level]],Experience[],2,FALSE)</f>
        <v>Senior</v>
      </c>
      <c r="D20" t="s">
        <v>17</v>
      </c>
      <c r="E20" t="str">
        <f>VLOOKUP(SalaryInfo[[#This Row],[employment_type]],EmpType[],2,FALSE)</f>
        <v>Full Time</v>
      </c>
      <c r="F20" t="s">
        <v>12</v>
      </c>
      <c r="G20" t="s">
        <v>43</v>
      </c>
      <c r="H20">
        <v>243900</v>
      </c>
      <c r="I20" t="s">
        <v>19</v>
      </c>
      <c r="J20">
        <v>243900</v>
      </c>
      <c r="K20" t="s">
        <v>29</v>
      </c>
      <c r="L20">
        <v>100</v>
      </c>
      <c r="M20" t="s">
        <v>29</v>
      </c>
      <c r="N20" t="s">
        <v>25</v>
      </c>
      <c r="O20" t="str">
        <f>VLOOKUP(SalaryInfo[[#This Row],[company_size]],CompanySize[],2,FALSE)</f>
        <v>Medium</v>
      </c>
      <c r="Q20" s="3" t="s">
        <v>172</v>
      </c>
      <c r="R20" s="3" t="s">
        <v>184</v>
      </c>
      <c r="S20" s="3" t="s">
        <v>185</v>
      </c>
    </row>
    <row r="21" spans="1:19">
      <c r="A21">
        <v>309</v>
      </c>
      <c r="B21">
        <v>2022</v>
      </c>
      <c r="C21" t="str">
        <f>VLOOKUP(SalaryInfo[[#This Row],[experience_level]],Experience[],2,FALSE)</f>
        <v>Director</v>
      </c>
      <c r="D21" t="s">
        <v>53</v>
      </c>
      <c r="E21" t="str">
        <f>VLOOKUP(SalaryInfo[[#This Row],[employment_type]],EmpType[],2,FALSE)</f>
        <v>Full Time</v>
      </c>
      <c r="F21" t="s">
        <v>12</v>
      </c>
      <c r="G21" t="s">
        <v>43</v>
      </c>
      <c r="H21">
        <v>242000</v>
      </c>
      <c r="I21" t="s">
        <v>19</v>
      </c>
      <c r="J21">
        <v>242000</v>
      </c>
      <c r="K21" t="s">
        <v>29</v>
      </c>
      <c r="L21">
        <v>100</v>
      </c>
      <c r="M21" t="s">
        <v>29</v>
      </c>
      <c r="N21" t="s">
        <v>25</v>
      </c>
      <c r="O21" t="str">
        <f>VLOOKUP(SalaryInfo[[#This Row],[company_size]],CompanySize[],2,FALSE)</f>
        <v>Medium</v>
      </c>
      <c r="Q21" s="3" t="s">
        <v>165</v>
      </c>
      <c r="R21" s="3">
        <f t="array" ref="R21">MAX(IF(SalaryInfo[Experience]=Q21,SalaryInfo[salary_in_usd]))</f>
        <v>600000</v>
      </c>
      <c r="S21" s="3">
        <f t="array" ref="S21">MIN(IF(SalaryInfo[Experience]=Q21,SalaryInfo[salary_in_usd]))</f>
        <v>69741</v>
      </c>
    </row>
    <row r="22" spans="1:19">
      <c r="A22">
        <v>421</v>
      </c>
      <c r="B22">
        <v>2022</v>
      </c>
      <c r="C22" t="str">
        <f>VLOOKUP(SalaryInfo[[#This Row],[experience_level]],Experience[],2,FALSE)</f>
        <v>Intermediate</v>
      </c>
      <c r="D22" t="s">
        <v>11</v>
      </c>
      <c r="E22" t="str">
        <f>VLOOKUP(SalaryInfo[[#This Row],[employment_type]],EmpType[],2,FALSE)</f>
        <v>Full Time</v>
      </c>
      <c r="F22" t="s">
        <v>12</v>
      </c>
      <c r="G22" t="s">
        <v>79</v>
      </c>
      <c r="H22">
        <v>241000</v>
      </c>
      <c r="I22" t="s">
        <v>19</v>
      </c>
      <c r="J22">
        <v>241000</v>
      </c>
      <c r="K22" t="s">
        <v>29</v>
      </c>
      <c r="L22">
        <v>100</v>
      </c>
      <c r="M22" t="s">
        <v>29</v>
      </c>
      <c r="N22" t="s">
        <v>25</v>
      </c>
      <c r="O22" t="str">
        <f>VLOOKUP(SalaryInfo[[#This Row],[company_size]],CompanySize[],2,FALSE)</f>
        <v>Medium</v>
      </c>
      <c r="Q22" s="3" t="s">
        <v>173</v>
      </c>
      <c r="R22" s="3">
        <f t="array" ref="R22">MAX(IF(SalaryInfo[Experience]=Q22,SalaryInfo[salary_in_usd]))</f>
        <v>412000</v>
      </c>
      <c r="S22" s="3">
        <f t="array" ref="S22">MIN(IF(SalaryInfo[Experience]=Q22,SalaryInfo[salary_in_usd]))</f>
        <v>18907</v>
      </c>
    </row>
    <row r="23" spans="1:19">
      <c r="A23">
        <v>141</v>
      </c>
      <c r="B23">
        <v>2021</v>
      </c>
      <c r="C23" t="str">
        <f>VLOOKUP(SalaryInfo[[#This Row],[experience_level]],Experience[],2,FALSE)</f>
        <v>Senior</v>
      </c>
      <c r="D23" t="s">
        <v>17</v>
      </c>
      <c r="E23" t="str">
        <f>VLOOKUP(SalaryInfo[[#This Row],[employment_type]],EmpType[],2,FALSE)</f>
        <v>Full Time</v>
      </c>
      <c r="F23" t="s">
        <v>12</v>
      </c>
      <c r="G23" t="s">
        <v>79</v>
      </c>
      <c r="H23">
        <v>240000</v>
      </c>
      <c r="I23" t="s">
        <v>19</v>
      </c>
      <c r="J23">
        <v>240000</v>
      </c>
      <c r="K23" t="s">
        <v>29</v>
      </c>
      <c r="L23">
        <v>0</v>
      </c>
      <c r="M23" t="s">
        <v>29</v>
      </c>
      <c r="N23" t="s">
        <v>16</v>
      </c>
      <c r="O23" t="str">
        <f>VLOOKUP(SalaryInfo[[#This Row],[company_size]],CompanySize[],2,FALSE)</f>
        <v>Large</v>
      </c>
      <c r="Q23" s="3" t="s">
        <v>164</v>
      </c>
      <c r="R23" s="3">
        <f t="array" ref="R23">MAX(IF(SalaryInfo[Experience]=Q23,SalaryInfo[salary_in_usd]))</f>
        <v>450000</v>
      </c>
      <c r="S23" s="3">
        <f t="array" ref="S23">MIN(IF(SalaryInfo[Experience]=Q23,SalaryInfo[salary_in_usd]))</f>
        <v>2859</v>
      </c>
    </row>
    <row r="24" spans="1:19">
      <c r="A24">
        <v>173</v>
      </c>
      <c r="B24">
        <v>2021</v>
      </c>
      <c r="C24" t="str">
        <f>VLOOKUP(SalaryInfo[[#This Row],[experience_level]],Experience[],2,FALSE)</f>
        <v>Senior</v>
      </c>
      <c r="D24" t="s">
        <v>17</v>
      </c>
      <c r="E24" t="str">
        <f>VLOOKUP(SalaryInfo[[#This Row],[employment_type]],EmpType[],2,FALSE)</f>
        <v>Full Time</v>
      </c>
      <c r="F24" t="s">
        <v>12</v>
      </c>
      <c r="G24" t="s">
        <v>76</v>
      </c>
      <c r="H24">
        <v>235000</v>
      </c>
      <c r="I24" t="s">
        <v>19</v>
      </c>
      <c r="J24">
        <v>235000</v>
      </c>
      <c r="K24" t="s">
        <v>29</v>
      </c>
      <c r="L24">
        <v>100</v>
      </c>
      <c r="M24" t="s">
        <v>29</v>
      </c>
      <c r="N24" t="s">
        <v>16</v>
      </c>
      <c r="O24" t="str">
        <f>VLOOKUP(SalaryInfo[[#This Row],[company_size]],CompanySize[],2,FALSE)</f>
        <v>Large</v>
      </c>
      <c r="Q24" s="3" t="s">
        <v>163</v>
      </c>
      <c r="R24" s="3">
        <f t="array" ref="R24">MAX(IF(SalaryInfo[Experience]=Q24,SalaryInfo[salary_in_usd]))</f>
        <v>250000</v>
      </c>
      <c r="S24" s="3">
        <f t="array" ref="S24">MIN(IF(SalaryInfo[Experience]=Q24,SalaryInfo[salary_in_usd]))</f>
        <v>4000</v>
      </c>
    </row>
    <row r="25" spans="1:19">
      <c r="A25">
        <v>74</v>
      </c>
      <c r="B25">
        <v>2021</v>
      </c>
      <c r="C25" t="str">
        <f>VLOOKUP(SalaryInfo[[#This Row],[experience_level]],Experience[],2,FALSE)</f>
        <v>Director</v>
      </c>
      <c r="D25" t="s">
        <v>53</v>
      </c>
      <c r="E25" t="str">
        <f>VLOOKUP(SalaryInfo[[#This Row],[employment_type]],EmpType[],2,FALSE)</f>
        <v>Full Time</v>
      </c>
      <c r="F25" t="s">
        <v>12</v>
      </c>
      <c r="G25" t="s">
        <v>81</v>
      </c>
      <c r="H25">
        <v>235000</v>
      </c>
      <c r="I25" t="s">
        <v>19</v>
      </c>
      <c r="J25">
        <v>235000</v>
      </c>
      <c r="K25" t="s">
        <v>29</v>
      </c>
      <c r="L25">
        <v>100</v>
      </c>
      <c r="M25" t="s">
        <v>29</v>
      </c>
      <c r="N25" t="s">
        <v>16</v>
      </c>
      <c r="O25" t="str">
        <f>VLOOKUP(SalaryInfo[[#This Row],[company_size]],CompanySize[],2,FALSE)</f>
        <v>Large</v>
      </c>
    </row>
    <row r="26" spans="1:19">
      <c r="A26">
        <v>160</v>
      </c>
      <c r="B26">
        <v>2021</v>
      </c>
      <c r="C26" t="str">
        <f>VLOOKUP(SalaryInfo[[#This Row],[experience_level]],Experience[],2,FALSE)</f>
        <v>Director</v>
      </c>
      <c r="D26" t="s">
        <v>53</v>
      </c>
      <c r="E26" t="str">
        <f>VLOOKUP(SalaryInfo[[#This Row],[employment_type]],EmpType[],2,FALSE)</f>
        <v>Full Time</v>
      </c>
      <c r="F26" t="s">
        <v>12</v>
      </c>
      <c r="G26" t="s">
        <v>81</v>
      </c>
      <c r="H26">
        <v>230000</v>
      </c>
      <c r="I26" t="s">
        <v>19</v>
      </c>
      <c r="J26">
        <v>230000</v>
      </c>
      <c r="K26" t="s">
        <v>75</v>
      </c>
      <c r="L26">
        <v>50</v>
      </c>
      <c r="M26" t="s">
        <v>75</v>
      </c>
      <c r="N26" t="s">
        <v>16</v>
      </c>
      <c r="O26" t="str">
        <f>VLOOKUP(SalaryInfo[[#This Row],[company_size]],CompanySize[],2,FALSE)</f>
        <v>Large</v>
      </c>
    </row>
    <row r="27" spans="1:19">
      <c r="A27">
        <v>486</v>
      </c>
      <c r="B27">
        <v>2022</v>
      </c>
      <c r="C27" t="str">
        <f>VLOOKUP(SalaryInfo[[#This Row],[experience_level]],Experience[],2,FALSE)</f>
        <v>Senior</v>
      </c>
      <c r="D27" t="s">
        <v>17</v>
      </c>
      <c r="E27" t="str">
        <f>VLOOKUP(SalaryInfo[[#This Row],[employment_type]],EmpType[],2,FALSE)</f>
        <v>Full Time</v>
      </c>
      <c r="F27" t="s">
        <v>12</v>
      </c>
      <c r="G27" t="s">
        <v>13</v>
      </c>
      <c r="H27">
        <v>230000</v>
      </c>
      <c r="I27" t="s">
        <v>19</v>
      </c>
      <c r="J27">
        <v>230000</v>
      </c>
      <c r="K27" t="s">
        <v>29</v>
      </c>
      <c r="L27">
        <v>100</v>
      </c>
      <c r="M27" t="s">
        <v>29</v>
      </c>
      <c r="N27" t="s">
        <v>25</v>
      </c>
      <c r="O27" t="str">
        <f>VLOOKUP(SalaryInfo[[#This Row],[company_size]],CompanySize[],2,FALSE)</f>
        <v>Medium</v>
      </c>
      <c r="Q27" t="s">
        <v>167</v>
      </c>
      <c r="R27" t="s">
        <v>184</v>
      </c>
      <c r="S27" t="s">
        <v>185</v>
      </c>
    </row>
    <row r="28" spans="1:19">
      <c r="A28">
        <v>592</v>
      </c>
      <c r="B28">
        <v>2022</v>
      </c>
      <c r="C28" t="str">
        <f>VLOOKUP(SalaryInfo[[#This Row],[experience_level]],Experience[],2,FALSE)</f>
        <v>Senior</v>
      </c>
      <c r="D28" t="s">
        <v>17</v>
      </c>
      <c r="E28" t="str">
        <f>VLOOKUP(SalaryInfo[[#This Row],[employment_type]],EmpType[],2,FALSE)</f>
        <v>Full Time</v>
      </c>
      <c r="F28" t="s">
        <v>12</v>
      </c>
      <c r="G28" t="s">
        <v>13</v>
      </c>
      <c r="H28">
        <v>230000</v>
      </c>
      <c r="I28" t="s">
        <v>19</v>
      </c>
      <c r="J28">
        <v>230000</v>
      </c>
      <c r="K28" t="s">
        <v>29</v>
      </c>
      <c r="L28">
        <v>100</v>
      </c>
      <c r="M28" t="s">
        <v>29</v>
      </c>
      <c r="N28" t="s">
        <v>25</v>
      </c>
      <c r="O28" t="str">
        <f>VLOOKUP(SalaryInfo[[#This Row],[company_size]],CompanySize[],2,FALSE)</f>
        <v>Medium</v>
      </c>
      <c r="Q28" t="s">
        <v>169</v>
      </c>
      <c r="R28">
        <f t="array" ref="R28">MAX(IF(SalaryInfo[size]=Q28,SalaryInfo[salary_in_usd]))</f>
        <v>416000</v>
      </c>
      <c r="S28">
        <f t="array" ref="S28">MIN(IF(SalaryInfo[size]=Q28,SalaryInfo[salary_in_usd]))</f>
        <v>2859</v>
      </c>
    </row>
    <row r="29" spans="1:19">
      <c r="A29">
        <v>115</v>
      </c>
      <c r="B29">
        <v>2021</v>
      </c>
      <c r="C29" t="str">
        <f>VLOOKUP(SalaryInfo[[#This Row],[experience_level]],Experience[],2,FALSE)</f>
        <v>Junior</v>
      </c>
      <c r="D29" t="s">
        <v>30</v>
      </c>
      <c r="E29" t="str">
        <f>VLOOKUP(SalaryInfo[[#This Row],[employment_type]],EmpType[],2,FALSE)</f>
        <v>Full Time</v>
      </c>
      <c r="F29" t="s">
        <v>12</v>
      </c>
      <c r="G29" t="s">
        <v>18</v>
      </c>
      <c r="H29">
        <v>225000</v>
      </c>
      <c r="I29" t="s">
        <v>19</v>
      </c>
      <c r="J29">
        <v>225000</v>
      </c>
      <c r="K29" t="s">
        <v>29</v>
      </c>
      <c r="L29">
        <v>100</v>
      </c>
      <c r="M29" t="s">
        <v>29</v>
      </c>
      <c r="N29" t="s">
        <v>16</v>
      </c>
      <c r="O29" t="str">
        <f>VLOOKUP(SalaryInfo[[#This Row],[company_size]],CompanySize[],2,FALSE)</f>
        <v>Large</v>
      </c>
      <c r="Q29" t="s">
        <v>170</v>
      </c>
      <c r="R29">
        <f t="array" ref="R29">MAX(IF(SalaryInfo[size]=Q29,SalaryInfo[salary_in_usd]))</f>
        <v>450000</v>
      </c>
      <c r="S29">
        <f t="array" ref="S29">MIN(IF(SalaryInfo[size]=Q29,SalaryInfo[salary_in_usd]))</f>
        <v>4000</v>
      </c>
    </row>
    <row r="30" spans="1:19">
      <c r="A30">
        <v>224</v>
      </c>
      <c r="B30">
        <v>2021</v>
      </c>
      <c r="C30" t="str">
        <f>VLOOKUP(SalaryInfo[[#This Row],[experience_level]],Experience[],2,FALSE)</f>
        <v>Senior</v>
      </c>
      <c r="D30" t="s">
        <v>17</v>
      </c>
      <c r="E30" t="str">
        <f>VLOOKUP(SalaryInfo[[#This Row],[employment_type]],EmpType[],2,FALSE)</f>
        <v>Full Time</v>
      </c>
      <c r="F30" t="s">
        <v>12</v>
      </c>
      <c r="G30" t="s">
        <v>18</v>
      </c>
      <c r="H30">
        <v>225000</v>
      </c>
      <c r="I30" t="s">
        <v>19</v>
      </c>
      <c r="J30">
        <v>225000</v>
      </c>
      <c r="K30" t="s">
        <v>29</v>
      </c>
      <c r="L30">
        <v>100</v>
      </c>
      <c r="M30" t="s">
        <v>62</v>
      </c>
      <c r="N30" t="s">
        <v>16</v>
      </c>
      <c r="O30" t="str">
        <f>VLOOKUP(SalaryInfo[[#This Row],[company_size]],CompanySize[],2,FALSE)</f>
        <v>Large</v>
      </c>
      <c r="Q30" t="s">
        <v>171</v>
      </c>
      <c r="R30">
        <f t="array" ref="R30">MAX(IF(SalaryInfo[size]=Q30,SalaryInfo[salary_in_usd]))</f>
        <v>600000</v>
      </c>
      <c r="S30">
        <f t="array" ref="S30">MIN(IF(SalaryInfo[size]=Q30,SalaryInfo[salary_in_usd]))</f>
        <v>5882</v>
      </c>
    </row>
    <row r="31" spans="1:19">
      <c r="A31">
        <v>342</v>
      </c>
      <c r="B31">
        <v>2022</v>
      </c>
      <c r="C31" t="str">
        <f>VLOOKUP(SalaryInfo[[#This Row],[experience_level]],Experience[],2,FALSE)</f>
        <v>Director</v>
      </c>
      <c r="D31" t="s">
        <v>53</v>
      </c>
      <c r="E31" t="str">
        <f>VLOOKUP(SalaryInfo[[#This Row],[employment_type]],EmpType[],2,FALSE)</f>
        <v>Full Time</v>
      </c>
      <c r="F31" t="s">
        <v>12</v>
      </c>
      <c r="G31" t="s">
        <v>106</v>
      </c>
      <c r="H31">
        <v>224000</v>
      </c>
      <c r="I31" t="s">
        <v>19</v>
      </c>
      <c r="J31">
        <v>224000</v>
      </c>
      <c r="K31" t="s">
        <v>29</v>
      </c>
      <c r="L31">
        <v>100</v>
      </c>
      <c r="M31" t="s">
        <v>29</v>
      </c>
      <c r="N31" t="s">
        <v>25</v>
      </c>
      <c r="O31" t="str">
        <f>VLOOKUP(SalaryInfo[[#This Row],[company_size]],CompanySize[],2,FALSE)</f>
        <v>Medium</v>
      </c>
    </row>
    <row r="32" spans="1:19">
      <c r="A32">
        <v>321</v>
      </c>
      <c r="B32">
        <v>2022</v>
      </c>
      <c r="C32" t="str">
        <f>VLOOKUP(SalaryInfo[[#This Row],[experience_level]],Experience[],2,FALSE)</f>
        <v>Senior</v>
      </c>
      <c r="D32" t="s">
        <v>17</v>
      </c>
      <c r="E32" t="str">
        <f>VLOOKUP(SalaryInfo[[#This Row],[employment_type]],EmpType[],2,FALSE)</f>
        <v>Full Time</v>
      </c>
      <c r="F32" t="s">
        <v>12</v>
      </c>
      <c r="G32" t="s">
        <v>43</v>
      </c>
      <c r="H32">
        <v>220110</v>
      </c>
      <c r="I32" t="s">
        <v>19</v>
      </c>
      <c r="J32">
        <v>220110</v>
      </c>
      <c r="K32" t="s">
        <v>29</v>
      </c>
      <c r="L32">
        <v>0</v>
      </c>
      <c r="M32" t="s">
        <v>29</v>
      </c>
      <c r="N32" t="s">
        <v>25</v>
      </c>
      <c r="O32" t="str">
        <f>VLOOKUP(SalaryInfo[[#This Row],[company_size]],CompanySize[],2,FALSE)</f>
        <v>Medium</v>
      </c>
    </row>
    <row r="33" spans="1:15">
      <c r="A33">
        <v>582</v>
      </c>
      <c r="B33">
        <v>2022</v>
      </c>
      <c r="C33" t="str">
        <f>VLOOKUP(SalaryInfo[[#This Row],[experience_level]],Experience[],2,FALSE)</f>
        <v>Senior</v>
      </c>
      <c r="D33" t="s">
        <v>17</v>
      </c>
      <c r="E33" t="str">
        <f>VLOOKUP(SalaryInfo[[#This Row],[employment_type]],EmpType[],2,FALSE)</f>
        <v>Full Time</v>
      </c>
      <c r="F33" t="s">
        <v>12</v>
      </c>
      <c r="G33" t="s">
        <v>43</v>
      </c>
      <c r="H33">
        <v>220110</v>
      </c>
      <c r="I33" t="s">
        <v>19</v>
      </c>
      <c r="J33">
        <v>220110</v>
      </c>
      <c r="K33" t="s">
        <v>29</v>
      </c>
      <c r="L33">
        <v>100</v>
      </c>
      <c r="M33" t="s">
        <v>29</v>
      </c>
      <c r="N33" t="s">
        <v>25</v>
      </c>
      <c r="O33" t="str">
        <f>VLOOKUP(SalaryInfo[[#This Row],[company_size]],CompanySize[],2,FALSE)</f>
        <v>Medium</v>
      </c>
    </row>
    <row r="34" spans="1:15">
      <c r="A34">
        <v>138</v>
      </c>
      <c r="B34">
        <v>2021</v>
      </c>
      <c r="C34" t="str">
        <f>VLOOKUP(SalaryInfo[[#This Row],[experience_level]],Experience[],2,FALSE)</f>
        <v>Senior</v>
      </c>
      <c r="D34" t="s">
        <v>17</v>
      </c>
      <c r="E34" t="str">
        <f>VLOOKUP(SalaryInfo[[#This Row],[employment_type]],EmpType[],2,FALSE)</f>
        <v>Full Time</v>
      </c>
      <c r="F34" t="s">
        <v>12</v>
      </c>
      <c r="G34" t="s">
        <v>76</v>
      </c>
      <c r="H34">
        <v>220000</v>
      </c>
      <c r="I34" t="s">
        <v>19</v>
      </c>
      <c r="J34">
        <v>220000</v>
      </c>
      <c r="K34" t="s">
        <v>29</v>
      </c>
      <c r="L34">
        <v>0</v>
      </c>
      <c r="M34" t="s">
        <v>29</v>
      </c>
      <c r="N34" t="s">
        <v>16</v>
      </c>
      <c r="O34" t="str">
        <f>VLOOKUP(SalaryInfo[[#This Row],[company_size]],CompanySize[],2,FALSE)</f>
        <v>Large</v>
      </c>
    </row>
    <row r="35" spans="1:15">
      <c r="A35">
        <v>472</v>
      </c>
      <c r="B35">
        <v>2022</v>
      </c>
      <c r="C35" t="str">
        <f>VLOOKUP(SalaryInfo[[#This Row],[experience_level]],Experience[],2,FALSE)</f>
        <v>Senior</v>
      </c>
      <c r="D35" t="s">
        <v>17</v>
      </c>
      <c r="E35" t="str">
        <f>VLOOKUP(SalaryInfo[[#This Row],[employment_type]],EmpType[],2,FALSE)</f>
        <v>Full Time</v>
      </c>
      <c r="F35" t="s">
        <v>12</v>
      </c>
      <c r="G35" t="s">
        <v>13</v>
      </c>
      <c r="H35">
        <v>220000</v>
      </c>
      <c r="I35" t="s">
        <v>19</v>
      </c>
      <c r="J35">
        <v>220000</v>
      </c>
      <c r="K35" t="s">
        <v>29</v>
      </c>
      <c r="L35">
        <v>100</v>
      </c>
      <c r="M35" t="s">
        <v>29</v>
      </c>
      <c r="N35" t="s">
        <v>25</v>
      </c>
      <c r="O35" t="str">
        <f>VLOOKUP(SalaryInfo[[#This Row],[company_size]],CompanySize[],2,FALSE)</f>
        <v>Medium</v>
      </c>
    </row>
    <row r="36" spans="1:15">
      <c r="A36">
        <v>477</v>
      </c>
      <c r="B36">
        <v>2022</v>
      </c>
      <c r="C36" t="str">
        <f>VLOOKUP(SalaryInfo[[#This Row],[experience_level]],Experience[],2,FALSE)</f>
        <v>Senior</v>
      </c>
      <c r="D36" t="s">
        <v>17</v>
      </c>
      <c r="E36" t="str">
        <f>VLOOKUP(SalaryInfo[[#This Row],[employment_type]],EmpType[],2,FALSE)</f>
        <v>Full Time</v>
      </c>
      <c r="F36" t="s">
        <v>12</v>
      </c>
      <c r="G36" t="s">
        <v>28</v>
      </c>
      <c r="H36">
        <v>220000</v>
      </c>
      <c r="I36" t="s">
        <v>19</v>
      </c>
      <c r="J36">
        <v>220000</v>
      </c>
      <c r="K36" t="s">
        <v>29</v>
      </c>
      <c r="L36">
        <v>100</v>
      </c>
      <c r="M36" t="s">
        <v>29</v>
      </c>
      <c r="N36" t="s">
        <v>25</v>
      </c>
      <c r="O36" t="str">
        <f>VLOOKUP(SalaryInfo[[#This Row],[company_size]],CompanySize[],2,FALSE)</f>
        <v>Medium</v>
      </c>
    </row>
    <row r="37" spans="1:15">
      <c r="A37">
        <v>483</v>
      </c>
      <c r="B37">
        <v>2022</v>
      </c>
      <c r="C37" t="str">
        <f>VLOOKUP(SalaryInfo[[#This Row],[experience_level]],Experience[],2,FALSE)</f>
        <v>Director</v>
      </c>
      <c r="D37" t="s">
        <v>53</v>
      </c>
      <c r="E37" t="str">
        <f>VLOOKUP(SalaryInfo[[#This Row],[employment_type]],EmpType[],2,FALSE)</f>
        <v>Full Time</v>
      </c>
      <c r="F37" t="s">
        <v>12</v>
      </c>
      <c r="G37" t="s">
        <v>43</v>
      </c>
      <c r="H37">
        <v>216000</v>
      </c>
      <c r="I37" t="s">
        <v>19</v>
      </c>
      <c r="J37">
        <v>216000</v>
      </c>
      <c r="K37" t="s">
        <v>29</v>
      </c>
      <c r="L37">
        <v>100</v>
      </c>
      <c r="M37" t="s">
        <v>29</v>
      </c>
      <c r="N37" t="s">
        <v>25</v>
      </c>
      <c r="O37" t="str">
        <f>VLOOKUP(SalaryInfo[[#This Row],[company_size]],CompanySize[],2,FALSE)</f>
        <v>Medium</v>
      </c>
    </row>
    <row r="38" spans="1:15">
      <c r="A38">
        <v>398</v>
      </c>
      <c r="B38">
        <v>2022</v>
      </c>
      <c r="C38" t="str">
        <f>VLOOKUP(SalaryInfo[[#This Row],[experience_level]],Experience[],2,FALSE)</f>
        <v>Senior</v>
      </c>
      <c r="D38" t="s">
        <v>17</v>
      </c>
      <c r="E38" t="str">
        <f>VLOOKUP(SalaryInfo[[#This Row],[employment_type]],EmpType[],2,FALSE)</f>
        <v>Full Time</v>
      </c>
      <c r="F38" t="s">
        <v>12</v>
      </c>
      <c r="G38" t="s">
        <v>13</v>
      </c>
      <c r="H38">
        <v>215300</v>
      </c>
      <c r="I38" t="s">
        <v>19</v>
      </c>
      <c r="J38">
        <v>215300</v>
      </c>
      <c r="K38" t="s">
        <v>29</v>
      </c>
      <c r="L38">
        <v>100</v>
      </c>
      <c r="M38" t="s">
        <v>29</v>
      </c>
      <c r="N38" t="s">
        <v>16</v>
      </c>
      <c r="O38" t="str">
        <f>VLOOKUP(SalaryInfo[[#This Row],[company_size]],CompanySize[],2,FALSE)</f>
        <v>Large</v>
      </c>
    </row>
    <row r="39" spans="1:15">
      <c r="A39">
        <v>444</v>
      </c>
      <c r="B39">
        <v>2022</v>
      </c>
      <c r="C39" t="str">
        <f>VLOOKUP(SalaryInfo[[#This Row],[experience_level]],Experience[],2,FALSE)</f>
        <v>Senior</v>
      </c>
      <c r="D39" t="s">
        <v>17</v>
      </c>
      <c r="E39" t="str">
        <f>VLOOKUP(SalaryInfo[[#This Row],[employment_type]],EmpType[],2,FALSE)</f>
        <v>Full Time</v>
      </c>
      <c r="F39" t="s">
        <v>12</v>
      </c>
      <c r="G39" t="s">
        <v>13</v>
      </c>
      <c r="H39">
        <v>215300</v>
      </c>
      <c r="I39" t="s">
        <v>19</v>
      </c>
      <c r="J39">
        <v>215300</v>
      </c>
      <c r="K39" t="s">
        <v>29</v>
      </c>
      <c r="L39">
        <v>0</v>
      </c>
      <c r="M39" t="s">
        <v>29</v>
      </c>
      <c r="N39" t="s">
        <v>16</v>
      </c>
      <c r="O39" t="str">
        <f>VLOOKUP(SalaryInfo[[#This Row],[company_size]],CompanySize[],2,FALSE)</f>
        <v>Large</v>
      </c>
    </row>
    <row r="40" spans="1:15">
      <c r="A40">
        <v>532</v>
      </c>
      <c r="B40">
        <v>2022</v>
      </c>
      <c r="C40" t="str">
        <f>VLOOKUP(SalaryInfo[[#This Row],[experience_level]],Experience[],2,FALSE)</f>
        <v>Senior</v>
      </c>
      <c r="D40" t="s">
        <v>17</v>
      </c>
      <c r="E40" t="str">
        <f>VLOOKUP(SalaryInfo[[#This Row],[employment_type]],EmpType[],2,FALSE)</f>
        <v>Full Time</v>
      </c>
      <c r="F40" t="s">
        <v>12</v>
      </c>
      <c r="G40" t="s">
        <v>28</v>
      </c>
      <c r="H40">
        <v>214000</v>
      </c>
      <c r="I40" t="s">
        <v>19</v>
      </c>
      <c r="J40">
        <v>214000</v>
      </c>
      <c r="K40" t="s">
        <v>29</v>
      </c>
      <c r="L40">
        <v>100</v>
      </c>
      <c r="M40" t="s">
        <v>29</v>
      </c>
      <c r="N40" t="s">
        <v>25</v>
      </c>
      <c r="O40" t="str">
        <f>VLOOKUP(SalaryInfo[[#This Row],[company_size]],CompanySize[],2,FALSE)</f>
        <v>Medium</v>
      </c>
    </row>
    <row r="41" spans="1:15">
      <c r="A41">
        <v>535</v>
      </c>
      <c r="B41">
        <v>2022</v>
      </c>
      <c r="C41" t="str">
        <f>VLOOKUP(SalaryInfo[[#This Row],[experience_level]],Experience[],2,FALSE)</f>
        <v>Senior</v>
      </c>
      <c r="D41" t="s">
        <v>17</v>
      </c>
      <c r="E41" t="str">
        <f>VLOOKUP(SalaryInfo[[#This Row],[employment_type]],EmpType[],2,FALSE)</f>
        <v>Full Time</v>
      </c>
      <c r="F41" t="s">
        <v>12</v>
      </c>
      <c r="G41" t="s">
        <v>109</v>
      </c>
      <c r="H41">
        <v>213120</v>
      </c>
      <c r="I41" t="s">
        <v>19</v>
      </c>
      <c r="J41">
        <v>213120</v>
      </c>
      <c r="K41" t="s">
        <v>29</v>
      </c>
      <c r="L41">
        <v>100</v>
      </c>
      <c r="M41" t="s">
        <v>29</v>
      </c>
      <c r="N41" t="s">
        <v>25</v>
      </c>
      <c r="O41" t="str">
        <f>VLOOKUP(SalaryInfo[[#This Row],[company_size]],CompanySize[],2,FALSE)</f>
        <v>Medium</v>
      </c>
    </row>
    <row r="42" spans="1:15">
      <c r="A42">
        <v>357</v>
      </c>
      <c r="B42">
        <v>2022</v>
      </c>
      <c r="C42" t="str">
        <f>VLOOKUP(SalaryInfo[[#This Row],[experience_level]],Experience[],2,FALSE)</f>
        <v>Senior</v>
      </c>
      <c r="D42" t="s">
        <v>17</v>
      </c>
      <c r="E42" t="str">
        <f>VLOOKUP(SalaryInfo[[#This Row],[employment_type]],EmpType[],2,FALSE)</f>
        <v>Full Time</v>
      </c>
      <c r="F42" t="s">
        <v>12</v>
      </c>
      <c r="G42" t="s">
        <v>13</v>
      </c>
      <c r="H42">
        <v>211500</v>
      </c>
      <c r="I42" t="s">
        <v>19</v>
      </c>
      <c r="J42">
        <v>211500</v>
      </c>
      <c r="K42" t="s">
        <v>29</v>
      </c>
      <c r="L42">
        <v>100</v>
      </c>
      <c r="M42" t="s">
        <v>29</v>
      </c>
      <c r="N42" t="s">
        <v>25</v>
      </c>
      <c r="O42" t="str">
        <f>VLOOKUP(SalaryInfo[[#This Row],[company_size]],CompanySize[],2,FALSE)</f>
        <v>Medium</v>
      </c>
    </row>
    <row r="43" spans="1:15">
      <c r="A43">
        <v>484</v>
      </c>
      <c r="B43">
        <v>2022</v>
      </c>
      <c r="C43" t="str">
        <f>VLOOKUP(SalaryInfo[[#This Row],[experience_level]],Experience[],2,FALSE)</f>
        <v>Senior</v>
      </c>
      <c r="D43" t="s">
        <v>17</v>
      </c>
      <c r="E43" t="str">
        <f>VLOOKUP(SalaryInfo[[#This Row],[employment_type]],EmpType[],2,FALSE)</f>
        <v>Full Time</v>
      </c>
      <c r="F43" t="s">
        <v>12</v>
      </c>
      <c r="G43" t="s">
        <v>43</v>
      </c>
      <c r="H43">
        <v>210000</v>
      </c>
      <c r="I43" t="s">
        <v>19</v>
      </c>
      <c r="J43">
        <v>210000</v>
      </c>
      <c r="K43" t="s">
        <v>29</v>
      </c>
      <c r="L43">
        <v>100</v>
      </c>
      <c r="M43" t="s">
        <v>29</v>
      </c>
      <c r="N43" t="s">
        <v>25</v>
      </c>
      <c r="O43" t="str">
        <f>VLOOKUP(SalaryInfo[[#This Row],[company_size]],CompanySize[],2,FALSE)</f>
        <v>Medium</v>
      </c>
    </row>
    <row r="44" spans="1:15">
      <c r="A44">
        <v>570</v>
      </c>
      <c r="B44">
        <v>2022</v>
      </c>
      <c r="C44" t="str">
        <f>VLOOKUP(SalaryInfo[[#This Row],[experience_level]],Experience[],2,FALSE)</f>
        <v>Senior</v>
      </c>
      <c r="D44" t="s">
        <v>17</v>
      </c>
      <c r="E44" t="str">
        <f>VLOOKUP(SalaryInfo[[#This Row],[employment_type]],EmpType[],2,FALSE)</f>
        <v>Full Time</v>
      </c>
      <c r="F44" t="s">
        <v>12</v>
      </c>
      <c r="G44" t="s">
        <v>13</v>
      </c>
      <c r="H44">
        <v>210000</v>
      </c>
      <c r="I44" t="s">
        <v>19</v>
      </c>
      <c r="J44">
        <v>210000</v>
      </c>
      <c r="K44" t="s">
        <v>29</v>
      </c>
      <c r="L44">
        <v>100</v>
      </c>
      <c r="M44" t="s">
        <v>29</v>
      </c>
      <c r="N44" t="s">
        <v>25</v>
      </c>
      <c r="O44" t="str">
        <f>VLOOKUP(SalaryInfo[[#This Row],[company_size]],CompanySize[],2,FALSE)</f>
        <v>Medium</v>
      </c>
    </row>
    <row r="45" spans="1:15">
      <c r="A45">
        <v>574</v>
      </c>
      <c r="B45">
        <v>2022</v>
      </c>
      <c r="C45" t="str">
        <f>VLOOKUP(SalaryInfo[[#This Row],[experience_level]],Experience[],2,FALSE)</f>
        <v>Senior</v>
      </c>
      <c r="D45" t="s">
        <v>17</v>
      </c>
      <c r="E45" t="str">
        <f>VLOOKUP(SalaryInfo[[#This Row],[employment_type]],EmpType[],2,FALSE)</f>
        <v>Full Time</v>
      </c>
      <c r="F45" t="s">
        <v>12</v>
      </c>
      <c r="G45" t="s">
        <v>13</v>
      </c>
      <c r="H45">
        <v>210000</v>
      </c>
      <c r="I45" t="s">
        <v>19</v>
      </c>
      <c r="J45">
        <v>210000</v>
      </c>
      <c r="K45" t="s">
        <v>29</v>
      </c>
      <c r="L45">
        <v>100</v>
      </c>
      <c r="M45" t="s">
        <v>29</v>
      </c>
      <c r="N45" t="s">
        <v>25</v>
      </c>
      <c r="O45" t="str">
        <f>VLOOKUP(SalaryInfo[[#This Row],[company_size]],CompanySize[],2,FALSE)</f>
        <v>Medium</v>
      </c>
    </row>
    <row r="46" spans="1:15">
      <c r="A46">
        <v>576</v>
      </c>
      <c r="B46">
        <v>2022</v>
      </c>
      <c r="C46" t="str">
        <f>VLOOKUP(SalaryInfo[[#This Row],[experience_level]],Experience[],2,FALSE)</f>
        <v>Senior</v>
      </c>
      <c r="D46" t="s">
        <v>17</v>
      </c>
      <c r="E46" t="str">
        <f>VLOOKUP(SalaryInfo[[#This Row],[employment_type]],EmpType[],2,FALSE)</f>
        <v>Full Time</v>
      </c>
      <c r="F46" t="s">
        <v>12</v>
      </c>
      <c r="G46" t="s">
        <v>13</v>
      </c>
      <c r="H46">
        <v>210000</v>
      </c>
      <c r="I46" t="s">
        <v>19</v>
      </c>
      <c r="J46">
        <v>210000</v>
      </c>
      <c r="K46" t="s">
        <v>29</v>
      </c>
      <c r="L46">
        <v>100</v>
      </c>
      <c r="M46" t="s">
        <v>29</v>
      </c>
      <c r="N46" t="s">
        <v>25</v>
      </c>
      <c r="O46" t="str">
        <f>VLOOKUP(SalaryInfo[[#This Row],[company_size]],CompanySize[],2,FALSE)</f>
        <v>Medium</v>
      </c>
    </row>
    <row r="47" spans="1:15">
      <c r="A47">
        <v>596</v>
      </c>
      <c r="B47">
        <v>2022</v>
      </c>
      <c r="C47" t="str">
        <f>VLOOKUP(SalaryInfo[[#This Row],[experience_level]],Experience[],2,FALSE)</f>
        <v>Senior</v>
      </c>
      <c r="D47" t="s">
        <v>17</v>
      </c>
      <c r="E47" t="str">
        <f>VLOOKUP(SalaryInfo[[#This Row],[employment_type]],EmpType[],2,FALSE)</f>
        <v>Full Time</v>
      </c>
      <c r="F47" t="s">
        <v>12</v>
      </c>
      <c r="G47" t="s">
        <v>13</v>
      </c>
      <c r="H47">
        <v>210000</v>
      </c>
      <c r="I47" t="s">
        <v>19</v>
      </c>
      <c r="J47">
        <v>210000</v>
      </c>
      <c r="K47" t="s">
        <v>29</v>
      </c>
      <c r="L47">
        <v>100</v>
      </c>
      <c r="M47" t="s">
        <v>29</v>
      </c>
      <c r="N47" t="s">
        <v>25</v>
      </c>
      <c r="O47" t="str">
        <f>VLOOKUP(SalaryInfo[[#This Row],[company_size]],CompanySize[],2,FALSE)</f>
        <v>Medium</v>
      </c>
    </row>
    <row r="48" spans="1:15">
      <c r="A48">
        <v>400</v>
      </c>
      <c r="B48">
        <v>2022</v>
      </c>
      <c r="C48" t="str">
        <f>VLOOKUP(SalaryInfo[[#This Row],[experience_level]],Experience[],2,FALSE)</f>
        <v>Senior</v>
      </c>
      <c r="D48" t="s">
        <v>17</v>
      </c>
      <c r="E48" t="str">
        <f>VLOOKUP(SalaryInfo[[#This Row],[employment_type]],EmpType[],2,FALSE)</f>
        <v>Full Time</v>
      </c>
      <c r="F48" t="s">
        <v>12</v>
      </c>
      <c r="G48" t="s">
        <v>43</v>
      </c>
      <c r="H48">
        <v>209100</v>
      </c>
      <c r="I48" t="s">
        <v>19</v>
      </c>
      <c r="J48">
        <v>209100</v>
      </c>
      <c r="K48" t="s">
        <v>29</v>
      </c>
      <c r="L48">
        <v>100</v>
      </c>
      <c r="M48" t="s">
        <v>29</v>
      </c>
      <c r="N48" t="s">
        <v>16</v>
      </c>
      <c r="O48" t="str">
        <f>VLOOKUP(SalaryInfo[[#This Row],[company_size]],CompanySize[],2,FALSE)</f>
        <v>Large</v>
      </c>
    </row>
    <row r="49" spans="1:15">
      <c r="A49">
        <v>446</v>
      </c>
      <c r="B49">
        <v>2022</v>
      </c>
      <c r="C49" t="str">
        <f>VLOOKUP(SalaryInfo[[#This Row],[experience_level]],Experience[],2,FALSE)</f>
        <v>Senior</v>
      </c>
      <c r="D49" t="s">
        <v>17</v>
      </c>
      <c r="E49" t="str">
        <f>VLOOKUP(SalaryInfo[[#This Row],[employment_type]],EmpType[],2,FALSE)</f>
        <v>Full Time</v>
      </c>
      <c r="F49" t="s">
        <v>12</v>
      </c>
      <c r="G49" t="s">
        <v>43</v>
      </c>
      <c r="H49">
        <v>209100</v>
      </c>
      <c r="I49" t="s">
        <v>19</v>
      </c>
      <c r="J49">
        <v>209100</v>
      </c>
      <c r="K49" t="s">
        <v>29</v>
      </c>
      <c r="L49">
        <v>100</v>
      </c>
      <c r="M49" t="s">
        <v>29</v>
      </c>
      <c r="N49" t="s">
        <v>16</v>
      </c>
      <c r="O49" t="str">
        <f>VLOOKUP(SalaryInfo[[#This Row],[company_size]],CompanySize[],2,FALSE)</f>
        <v>Large</v>
      </c>
    </row>
    <row r="50" spans="1:15">
      <c r="A50">
        <v>378</v>
      </c>
      <c r="B50">
        <v>2022</v>
      </c>
      <c r="C50" t="str">
        <f>VLOOKUP(SalaryInfo[[#This Row],[experience_level]],Experience[],2,FALSE)</f>
        <v>Senior</v>
      </c>
      <c r="D50" t="s">
        <v>17</v>
      </c>
      <c r="E50" t="str">
        <f>VLOOKUP(SalaryInfo[[#This Row],[employment_type]],EmpType[],2,FALSE)</f>
        <v>Full Time</v>
      </c>
      <c r="F50" t="s">
        <v>12</v>
      </c>
      <c r="G50" t="s">
        <v>109</v>
      </c>
      <c r="H50">
        <v>208775</v>
      </c>
      <c r="I50" t="s">
        <v>19</v>
      </c>
      <c r="J50">
        <v>208775</v>
      </c>
      <c r="K50" t="s">
        <v>29</v>
      </c>
      <c r="L50">
        <v>100</v>
      </c>
      <c r="M50" t="s">
        <v>29</v>
      </c>
      <c r="N50" t="s">
        <v>25</v>
      </c>
      <c r="O50" t="str">
        <f>VLOOKUP(SalaryInfo[[#This Row],[company_size]],CompanySize[],2,FALSE)</f>
        <v>Medium</v>
      </c>
    </row>
    <row r="51" spans="1:15">
      <c r="A51">
        <v>542</v>
      </c>
      <c r="B51">
        <v>2022</v>
      </c>
      <c r="C51" t="str">
        <f>VLOOKUP(SalaryInfo[[#This Row],[experience_level]],Experience[],2,FALSE)</f>
        <v>Intermediate</v>
      </c>
      <c r="D51" t="s">
        <v>11</v>
      </c>
      <c r="E51" t="str">
        <f>VLOOKUP(SalaryInfo[[#This Row],[employment_type]],EmpType[],2,FALSE)</f>
        <v>Full Time</v>
      </c>
      <c r="F51" t="s">
        <v>12</v>
      </c>
      <c r="G51" t="s">
        <v>43</v>
      </c>
      <c r="H51">
        <v>206699</v>
      </c>
      <c r="I51" t="s">
        <v>19</v>
      </c>
      <c r="J51">
        <v>206699</v>
      </c>
      <c r="K51" t="s">
        <v>29</v>
      </c>
      <c r="L51">
        <v>0</v>
      </c>
      <c r="M51" t="s">
        <v>29</v>
      </c>
      <c r="N51" t="s">
        <v>25</v>
      </c>
      <c r="O51" t="str">
        <f>VLOOKUP(SalaryInfo[[#This Row],[company_size]],CompanySize[],2,FALSE)</f>
        <v>Medium</v>
      </c>
    </row>
    <row r="52" spans="1:15">
      <c r="A52">
        <v>550</v>
      </c>
      <c r="B52">
        <v>2022</v>
      </c>
      <c r="C52" t="str">
        <f>VLOOKUP(SalaryInfo[[#This Row],[experience_level]],Experience[],2,FALSE)</f>
        <v>Senior</v>
      </c>
      <c r="D52" t="s">
        <v>17</v>
      </c>
      <c r="E52" t="str">
        <f>VLOOKUP(SalaryInfo[[#This Row],[employment_type]],EmpType[],2,FALSE)</f>
        <v>Full Time</v>
      </c>
      <c r="F52" t="s">
        <v>12</v>
      </c>
      <c r="G52" t="s">
        <v>13</v>
      </c>
      <c r="H52">
        <v>205300</v>
      </c>
      <c r="I52" t="s">
        <v>19</v>
      </c>
      <c r="J52">
        <v>205300</v>
      </c>
      <c r="K52" t="s">
        <v>29</v>
      </c>
      <c r="L52">
        <v>0</v>
      </c>
      <c r="M52" t="s">
        <v>29</v>
      </c>
      <c r="N52" t="s">
        <v>16</v>
      </c>
      <c r="O52" t="str">
        <f>VLOOKUP(SalaryInfo[[#This Row],[company_size]],CompanySize[],2,FALSE)</f>
        <v>Large</v>
      </c>
    </row>
    <row r="53" spans="1:15">
      <c r="A53">
        <v>558</v>
      </c>
      <c r="B53">
        <v>2022</v>
      </c>
      <c r="C53" t="str">
        <f>VLOOKUP(SalaryInfo[[#This Row],[experience_level]],Experience[],2,FALSE)</f>
        <v>Senior</v>
      </c>
      <c r="D53" t="s">
        <v>17</v>
      </c>
      <c r="E53" t="str">
        <f>VLOOKUP(SalaryInfo[[#This Row],[employment_type]],EmpType[],2,FALSE)</f>
        <v>Full Time</v>
      </c>
      <c r="F53" t="s">
        <v>12</v>
      </c>
      <c r="G53" t="s">
        <v>13</v>
      </c>
      <c r="H53">
        <v>205300</v>
      </c>
      <c r="I53" t="s">
        <v>19</v>
      </c>
      <c r="J53">
        <v>205300</v>
      </c>
      <c r="K53" t="s">
        <v>29</v>
      </c>
      <c r="L53">
        <v>0</v>
      </c>
      <c r="M53" t="s">
        <v>29</v>
      </c>
      <c r="N53" t="s">
        <v>25</v>
      </c>
      <c r="O53" t="str">
        <f>VLOOKUP(SalaryInfo[[#This Row],[company_size]],CompanySize[],2,FALSE)</f>
        <v>Medium</v>
      </c>
    </row>
    <row r="54" spans="1:15">
      <c r="A54">
        <v>560</v>
      </c>
      <c r="B54">
        <v>2022</v>
      </c>
      <c r="C54" t="str">
        <f>VLOOKUP(SalaryInfo[[#This Row],[experience_level]],Experience[],2,FALSE)</f>
        <v>Senior</v>
      </c>
      <c r="D54" t="s">
        <v>17</v>
      </c>
      <c r="E54" t="str">
        <f>VLOOKUP(SalaryInfo[[#This Row],[employment_type]],EmpType[],2,FALSE)</f>
        <v>Full Time</v>
      </c>
      <c r="F54" t="s">
        <v>12</v>
      </c>
      <c r="G54" t="s">
        <v>131</v>
      </c>
      <c r="H54">
        <v>205300</v>
      </c>
      <c r="I54" t="s">
        <v>19</v>
      </c>
      <c r="J54">
        <v>205300</v>
      </c>
      <c r="K54" t="s">
        <v>29</v>
      </c>
      <c r="L54">
        <v>0</v>
      </c>
      <c r="M54" t="s">
        <v>29</v>
      </c>
      <c r="N54" t="s">
        <v>25</v>
      </c>
      <c r="O54" t="str">
        <f>VLOOKUP(SalaryInfo[[#This Row],[company_size]],CompanySize[],2,FALSE)</f>
        <v>Medium</v>
      </c>
    </row>
    <row r="55" spans="1:15">
      <c r="A55">
        <v>554</v>
      </c>
      <c r="B55">
        <v>2022</v>
      </c>
      <c r="C55" t="str">
        <f>VLOOKUP(SalaryInfo[[#This Row],[experience_level]],Experience[],2,FALSE)</f>
        <v>Senior</v>
      </c>
      <c r="D55" t="s">
        <v>17</v>
      </c>
      <c r="E55" t="str">
        <f>VLOOKUP(SalaryInfo[[#This Row],[employment_type]],EmpType[],2,FALSE)</f>
        <v>Full Time</v>
      </c>
      <c r="F55" t="s">
        <v>12</v>
      </c>
      <c r="G55" t="s">
        <v>43</v>
      </c>
      <c r="H55">
        <v>200100</v>
      </c>
      <c r="I55" t="s">
        <v>19</v>
      </c>
      <c r="J55">
        <v>200100</v>
      </c>
      <c r="K55" t="s">
        <v>29</v>
      </c>
      <c r="L55">
        <v>100</v>
      </c>
      <c r="M55" t="s">
        <v>29</v>
      </c>
      <c r="N55" t="s">
        <v>25</v>
      </c>
      <c r="O55" t="str">
        <f>VLOOKUP(SalaryInfo[[#This Row],[company_size]],CompanySize[],2,FALSE)</f>
        <v>Medium</v>
      </c>
    </row>
    <row r="56" spans="1:15">
      <c r="A56">
        <v>121</v>
      </c>
      <c r="B56">
        <v>2021</v>
      </c>
      <c r="C56" t="str">
        <f>VLOOKUP(SalaryInfo[[#This Row],[experience_level]],Experience[],2,FALSE)</f>
        <v>Senior</v>
      </c>
      <c r="D56" t="s">
        <v>17</v>
      </c>
      <c r="E56" t="str">
        <f>VLOOKUP(SalaryInfo[[#This Row],[employment_type]],EmpType[],2,FALSE)</f>
        <v>Full Time</v>
      </c>
      <c r="F56" t="s">
        <v>12</v>
      </c>
      <c r="G56" t="s">
        <v>97</v>
      </c>
      <c r="H56">
        <v>200000</v>
      </c>
      <c r="I56" t="s">
        <v>19</v>
      </c>
      <c r="J56">
        <v>200000</v>
      </c>
      <c r="K56" t="s">
        <v>29</v>
      </c>
      <c r="L56">
        <v>100</v>
      </c>
      <c r="M56" t="s">
        <v>29</v>
      </c>
      <c r="N56" t="s">
        <v>25</v>
      </c>
      <c r="O56" t="str">
        <f>VLOOKUP(SalaryInfo[[#This Row],[company_size]],CompanySize[],2,FALSE)</f>
        <v>Medium</v>
      </c>
    </row>
    <row r="57" spans="1:15">
      <c r="A57">
        <v>206</v>
      </c>
      <c r="B57">
        <v>2021</v>
      </c>
      <c r="C57" t="str">
        <f>VLOOKUP(SalaryInfo[[#This Row],[experience_level]],Experience[],2,FALSE)</f>
        <v>Senior</v>
      </c>
      <c r="D57" t="s">
        <v>17</v>
      </c>
      <c r="E57" t="str">
        <f>VLOOKUP(SalaryInfo[[#This Row],[employment_type]],EmpType[],2,FALSE)</f>
        <v>Full Time</v>
      </c>
      <c r="F57" t="s">
        <v>12</v>
      </c>
      <c r="G57" t="s">
        <v>28</v>
      </c>
      <c r="H57">
        <v>200000</v>
      </c>
      <c r="I57" t="s">
        <v>19</v>
      </c>
      <c r="J57">
        <v>200000</v>
      </c>
      <c r="K57" t="s">
        <v>29</v>
      </c>
      <c r="L57">
        <v>100</v>
      </c>
      <c r="M57" t="s">
        <v>29</v>
      </c>
      <c r="N57" t="s">
        <v>16</v>
      </c>
      <c r="O57" t="str">
        <f>VLOOKUP(SalaryInfo[[#This Row],[company_size]],CompanySize[],2,FALSE)</f>
        <v>Large</v>
      </c>
    </row>
    <row r="58" spans="1:15">
      <c r="A58">
        <v>232</v>
      </c>
      <c r="B58">
        <v>2021</v>
      </c>
      <c r="C58" t="str">
        <f>VLOOKUP(SalaryInfo[[#This Row],[experience_level]],Experience[],2,FALSE)</f>
        <v>Senior</v>
      </c>
      <c r="D58" t="s">
        <v>17</v>
      </c>
      <c r="E58" t="str">
        <f>VLOOKUP(SalaryInfo[[#This Row],[employment_type]],EmpType[],2,FALSE)</f>
        <v>Full Time</v>
      </c>
      <c r="F58" t="s">
        <v>12</v>
      </c>
      <c r="G58" t="s">
        <v>94</v>
      </c>
      <c r="H58">
        <v>200000</v>
      </c>
      <c r="I58" t="s">
        <v>19</v>
      </c>
      <c r="J58">
        <v>200000</v>
      </c>
      <c r="K58" t="s">
        <v>29</v>
      </c>
      <c r="L58">
        <v>100</v>
      </c>
      <c r="M58" t="s">
        <v>29</v>
      </c>
      <c r="N58" t="s">
        <v>16</v>
      </c>
      <c r="O58" t="str">
        <f>VLOOKUP(SalaryInfo[[#This Row],[company_size]],CompanySize[],2,FALSE)</f>
        <v>Large</v>
      </c>
    </row>
    <row r="59" spans="1:15">
      <c r="A59">
        <v>233</v>
      </c>
      <c r="B59">
        <v>2021</v>
      </c>
      <c r="C59" t="str">
        <f>VLOOKUP(SalaryInfo[[#This Row],[experience_level]],Experience[],2,FALSE)</f>
        <v>Senior</v>
      </c>
      <c r="D59" t="s">
        <v>17</v>
      </c>
      <c r="E59" t="str">
        <f>VLOOKUP(SalaryInfo[[#This Row],[employment_type]],EmpType[],2,FALSE)</f>
        <v>Full Time</v>
      </c>
      <c r="F59" t="s">
        <v>12</v>
      </c>
      <c r="G59" t="s">
        <v>31</v>
      </c>
      <c r="H59">
        <v>200000</v>
      </c>
      <c r="I59" t="s">
        <v>19</v>
      </c>
      <c r="J59">
        <v>200000</v>
      </c>
      <c r="K59" t="s">
        <v>29</v>
      </c>
      <c r="L59">
        <v>100</v>
      </c>
      <c r="M59" t="s">
        <v>29</v>
      </c>
      <c r="N59" t="s">
        <v>16</v>
      </c>
      <c r="O59" t="str">
        <f>VLOOKUP(SalaryInfo[[#This Row],[company_size]],CompanySize[],2,FALSE)</f>
        <v>Large</v>
      </c>
    </row>
    <row r="60" spans="1:15">
      <c r="A60">
        <v>310</v>
      </c>
      <c r="B60">
        <v>2022</v>
      </c>
      <c r="C60" t="str">
        <f>VLOOKUP(SalaryInfo[[#This Row],[experience_level]],Experience[],2,FALSE)</f>
        <v>Director</v>
      </c>
      <c r="D60" t="s">
        <v>53</v>
      </c>
      <c r="E60" t="str">
        <f>VLOOKUP(SalaryInfo[[#This Row],[employment_type]],EmpType[],2,FALSE)</f>
        <v>Full Time</v>
      </c>
      <c r="F60" t="s">
        <v>12</v>
      </c>
      <c r="G60" t="s">
        <v>43</v>
      </c>
      <c r="H60">
        <v>200000</v>
      </c>
      <c r="I60" t="s">
        <v>19</v>
      </c>
      <c r="J60">
        <v>200000</v>
      </c>
      <c r="K60" t="s">
        <v>29</v>
      </c>
      <c r="L60">
        <v>100</v>
      </c>
      <c r="M60" t="s">
        <v>29</v>
      </c>
      <c r="N60" t="s">
        <v>25</v>
      </c>
      <c r="O60" t="str">
        <f>VLOOKUP(SalaryInfo[[#This Row],[company_size]],CompanySize[],2,FALSE)</f>
        <v>Medium</v>
      </c>
    </row>
    <row r="61" spans="1:15">
      <c r="A61">
        <v>490</v>
      </c>
      <c r="B61">
        <v>2022</v>
      </c>
      <c r="C61" t="str">
        <f>VLOOKUP(SalaryInfo[[#This Row],[experience_level]],Experience[],2,FALSE)</f>
        <v>Senior</v>
      </c>
      <c r="D61" t="s">
        <v>17</v>
      </c>
      <c r="E61" t="str">
        <f>VLOOKUP(SalaryInfo[[#This Row],[employment_type]],EmpType[],2,FALSE)</f>
        <v>Full Time</v>
      </c>
      <c r="F61" t="s">
        <v>12</v>
      </c>
      <c r="G61" t="s">
        <v>81</v>
      </c>
      <c r="H61">
        <v>200000</v>
      </c>
      <c r="I61" t="s">
        <v>19</v>
      </c>
      <c r="J61">
        <v>200000</v>
      </c>
      <c r="K61" t="s">
        <v>139</v>
      </c>
      <c r="L61">
        <v>100</v>
      </c>
      <c r="M61" t="s">
        <v>29</v>
      </c>
      <c r="N61" t="s">
        <v>25</v>
      </c>
      <c r="O61" t="str">
        <f>VLOOKUP(SalaryInfo[[#This Row],[company_size]],CompanySize[],2,FALSE)</f>
        <v>Medium</v>
      </c>
    </row>
    <row r="62" spans="1:15">
      <c r="A62">
        <v>119</v>
      </c>
      <c r="B62">
        <v>2021</v>
      </c>
      <c r="C62" t="str">
        <f>VLOOKUP(SalaryInfo[[#This Row],[experience_level]],Experience[],2,FALSE)</f>
        <v>Intermediate</v>
      </c>
      <c r="D62" t="s">
        <v>11</v>
      </c>
      <c r="E62" t="str">
        <f>VLOOKUP(SalaryInfo[[#This Row],[employment_type]],EmpType[],2,FALSE)</f>
        <v>Full Time</v>
      </c>
      <c r="F62" t="s">
        <v>12</v>
      </c>
      <c r="G62" t="s">
        <v>43</v>
      </c>
      <c r="H62">
        <v>200000</v>
      </c>
      <c r="I62" t="s">
        <v>19</v>
      </c>
      <c r="J62">
        <v>200000</v>
      </c>
      <c r="K62" t="s">
        <v>29</v>
      </c>
      <c r="L62">
        <v>100</v>
      </c>
      <c r="M62" t="s">
        <v>29</v>
      </c>
      <c r="N62" t="s">
        <v>16</v>
      </c>
      <c r="O62" t="str">
        <f>VLOOKUP(SalaryInfo[[#This Row],[company_size]],CompanySize[],2,FALSE)</f>
        <v>Large</v>
      </c>
    </row>
    <row r="63" spans="1:15">
      <c r="A63">
        <v>256</v>
      </c>
      <c r="B63">
        <v>2021</v>
      </c>
      <c r="C63" t="str">
        <f>VLOOKUP(SalaryInfo[[#This Row],[experience_level]],Experience[],2,FALSE)</f>
        <v>Intermediate</v>
      </c>
      <c r="D63" t="s">
        <v>11</v>
      </c>
      <c r="E63" t="str">
        <f>VLOOKUP(SalaryInfo[[#This Row],[employment_type]],EmpType[],2,FALSE)</f>
        <v>Full Time</v>
      </c>
      <c r="F63" t="s">
        <v>12</v>
      </c>
      <c r="G63" t="s">
        <v>43</v>
      </c>
      <c r="H63">
        <v>200000</v>
      </c>
      <c r="I63" t="s">
        <v>19</v>
      </c>
      <c r="J63">
        <v>200000</v>
      </c>
      <c r="K63" t="s">
        <v>29</v>
      </c>
      <c r="L63">
        <v>100</v>
      </c>
      <c r="M63" t="s">
        <v>29</v>
      </c>
      <c r="N63" t="s">
        <v>16</v>
      </c>
      <c r="O63" t="str">
        <f>VLOOKUP(SalaryInfo[[#This Row],[company_size]],CompanySize[],2,FALSE)</f>
        <v>Large</v>
      </c>
    </row>
    <row r="64" spans="1:15">
      <c r="A64">
        <v>478</v>
      </c>
      <c r="B64">
        <v>2022</v>
      </c>
      <c r="C64" t="str">
        <f>VLOOKUP(SalaryInfo[[#This Row],[experience_level]],Experience[],2,FALSE)</f>
        <v>Intermediate</v>
      </c>
      <c r="D64" t="s">
        <v>11</v>
      </c>
      <c r="E64" t="str">
        <f>VLOOKUP(SalaryInfo[[#This Row],[employment_type]],EmpType[],2,FALSE)</f>
        <v>Full Time</v>
      </c>
      <c r="F64" t="s">
        <v>12</v>
      </c>
      <c r="G64" t="s">
        <v>13</v>
      </c>
      <c r="H64">
        <v>200000</v>
      </c>
      <c r="I64" t="s">
        <v>19</v>
      </c>
      <c r="J64">
        <v>200000</v>
      </c>
      <c r="K64" t="s">
        <v>29</v>
      </c>
      <c r="L64">
        <v>100</v>
      </c>
      <c r="M64" t="s">
        <v>29</v>
      </c>
      <c r="N64" t="s">
        <v>25</v>
      </c>
      <c r="O64" t="str">
        <f>VLOOKUP(SalaryInfo[[#This Row],[company_size]],CompanySize[],2,FALSE)</f>
        <v>Medium</v>
      </c>
    </row>
    <row r="65" spans="1:15">
      <c r="A65">
        <v>606</v>
      </c>
      <c r="B65">
        <v>2022</v>
      </c>
      <c r="C65" t="str">
        <f>VLOOKUP(SalaryInfo[[#This Row],[experience_level]],Experience[],2,FALSE)</f>
        <v>Intermediate</v>
      </c>
      <c r="D65" t="s">
        <v>11</v>
      </c>
      <c r="E65" t="str">
        <f>VLOOKUP(SalaryInfo[[#This Row],[employment_type]],EmpType[],2,FALSE)</f>
        <v>Full Time</v>
      </c>
      <c r="F65" t="s">
        <v>12</v>
      </c>
      <c r="G65" t="s">
        <v>70</v>
      </c>
      <c r="H65">
        <v>200000</v>
      </c>
      <c r="I65" t="s">
        <v>19</v>
      </c>
      <c r="J65">
        <v>200000</v>
      </c>
      <c r="K65" t="s">
        <v>40</v>
      </c>
      <c r="L65">
        <v>100</v>
      </c>
      <c r="M65" t="s">
        <v>29</v>
      </c>
      <c r="N65" t="s">
        <v>16</v>
      </c>
      <c r="O65" t="str">
        <f>VLOOKUP(SalaryInfo[[#This Row],[company_size]],CompanySize[],2,FALSE)</f>
        <v>Large</v>
      </c>
    </row>
    <row r="66" spans="1:15">
      <c r="A66">
        <v>452</v>
      </c>
      <c r="B66">
        <v>2022</v>
      </c>
      <c r="C66" t="str">
        <f>VLOOKUP(SalaryInfo[[#This Row],[experience_level]],Experience[],2,FALSE)</f>
        <v>Director</v>
      </c>
      <c r="D66" t="s">
        <v>53</v>
      </c>
      <c r="E66" t="str">
        <f>VLOOKUP(SalaryInfo[[#This Row],[employment_type]],EmpType[],2,FALSE)</f>
        <v>Full Time</v>
      </c>
      <c r="F66" t="s">
        <v>12</v>
      </c>
      <c r="G66" t="s">
        <v>54</v>
      </c>
      <c r="H66">
        <v>250000</v>
      </c>
      <c r="I66" t="s">
        <v>61</v>
      </c>
      <c r="J66">
        <v>196979</v>
      </c>
      <c r="K66" t="s">
        <v>62</v>
      </c>
      <c r="L66">
        <v>50</v>
      </c>
      <c r="M66" t="s">
        <v>62</v>
      </c>
      <c r="N66" t="s">
        <v>16</v>
      </c>
      <c r="O66" t="str">
        <f>VLOOKUP(SalaryInfo[[#This Row],[company_size]],CompanySize[],2,FALSE)</f>
        <v>Large</v>
      </c>
    </row>
    <row r="67" spans="1:15">
      <c r="A67">
        <v>201</v>
      </c>
      <c r="B67">
        <v>2021</v>
      </c>
      <c r="C67" t="str">
        <f>VLOOKUP(SalaryInfo[[#This Row],[experience_level]],Experience[],2,FALSE)</f>
        <v>Senior</v>
      </c>
      <c r="D67" t="s">
        <v>17</v>
      </c>
      <c r="E67" t="str">
        <f>VLOOKUP(SalaryInfo[[#This Row],[employment_type]],EmpType[],2,FALSE)</f>
        <v>Full Time</v>
      </c>
      <c r="F67" t="s">
        <v>12</v>
      </c>
      <c r="G67" t="s">
        <v>68</v>
      </c>
      <c r="H67">
        <v>195000</v>
      </c>
      <c r="I67" t="s">
        <v>19</v>
      </c>
      <c r="J67">
        <v>195000</v>
      </c>
      <c r="K67" t="s">
        <v>29</v>
      </c>
      <c r="L67">
        <v>100</v>
      </c>
      <c r="M67" t="s">
        <v>29</v>
      </c>
      <c r="N67" t="s">
        <v>25</v>
      </c>
      <c r="O67" t="str">
        <f>VLOOKUP(SalaryInfo[[#This Row],[company_size]],CompanySize[],2,FALSE)</f>
        <v>Medium</v>
      </c>
    </row>
    <row r="68" spans="1:15">
      <c r="A68">
        <v>533</v>
      </c>
      <c r="B68">
        <v>2022</v>
      </c>
      <c r="C68" t="str">
        <f>VLOOKUP(SalaryInfo[[#This Row],[experience_level]],Experience[],2,FALSE)</f>
        <v>Senior</v>
      </c>
      <c r="D68" t="s">
        <v>17</v>
      </c>
      <c r="E68" t="str">
        <f>VLOOKUP(SalaryInfo[[#This Row],[employment_type]],EmpType[],2,FALSE)</f>
        <v>Full Time</v>
      </c>
      <c r="F68" t="s">
        <v>12</v>
      </c>
      <c r="G68" t="s">
        <v>28</v>
      </c>
      <c r="H68">
        <v>192600</v>
      </c>
      <c r="I68" t="s">
        <v>19</v>
      </c>
      <c r="J68">
        <v>192600</v>
      </c>
      <c r="K68" t="s">
        <v>29</v>
      </c>
      <c r="L68">
        <v>100</v>
      </c>
      <c r="M68" t="s">
        <v>29</v>
      </c>
      <c r="N68" t="s">
        <v>25</v>
      </c>
      <c r="O68" t="str">
        <f>VLOOKUP(SalaryInfo[[#This Row],[company_size]],CompanySize[],2,FALSE)</f>
        <v>Medium</v>
      </c>
    </row>
    <row r="69" spans="1:15">
      <c r="A69">
        <v>590</v>
      </c>
      <c r="B69">
        <v>2022</v>
      </c>
      <c r="C69" t="str">
        <f>VLOOKUP(SalaryInfo[[#This Row],[experience_level]],Experience[],2,FALSE)</f>
        <v>Senior</v>
      </c>
      <c r="D69" t="s">
        <v>17</v>
      </c>
      <c r="E69" t="str">
        <f>VLOOKUP(SalaryInfo[[#This Row],[employment_type]],EmpType[],2,FALSE)</f>
        <v>Full Time</v>
      </c>
      <c r="F69" t="s">
        <v>12</v>
      </c>
      <c r="G69" t="s">
        <v>109</v>
      </c>
      <c r="H69">
        <v>192564</v>
      </c>
      <c r="I69" t="s">
        <v>19</v>
      </c>
      <c r="J69">
        <v>192564</v>
      </c>
      <c r="K69" t="s">
        <v>29</v>
      </c>
      <c r="L69">
        <v>100</v>
      </c>
      <c r="M69" t="s">
        <v>29</v>
      </c>
      <c r="N69" t="s">
        <v>25</v>
      </c>
      <c r="O69" t="str">
        <f>VLOOKUP(SalaryInfo[[#This Row],[company_size]],CompanySize[],2,FALSE)</f>
        <v>Medium</v>
      </c>
    </row>
    <row r="70" spans="1:15">
      <c r="A70">
        <v>358</v>
      </c>
      <c r="B70">
        <v>2022</v>
      </c>
      <c r="C70" t="str">
        <f>VLOOKUP(SalaryInfo[[#This Row],[experience_level]],Experience[],2,FALSE)</f>
        <v>Senior</v>
      </c>
      <c r="D70" t="s">
        <v>17</v>
      </c>
      <c r="E70" t="str">
        <f>VLOOKUP(SalaryInfo[[#This Row],[employment_type]],EmpType[],2,FALSE)</f>
        <v>Full Time</v>
      </c>
      <c r="F70" t="s">
        <v>12</v>
      </c>
      <c r="G70" t="s">
        <v>109</v>
      </c>
      <c r="H70">
        <v>192400</v>
      </c>
      <c r="I70" t="s">
        <v>19</v>
      </c>
      <c r="J70">
        <v>192400</v>
      </c>
      <c r="K70" t="s">
        <v>62</v>
      </c>
      <c r="L70">
        <v>100</v>
      </c>
      <c r="M70" t="s">
        <v>62</v>
      </c>
      <c r="N70" t="s">
        <v>25</v>
      </c>
      <c r="O70" t="str">
        <f>VLOOKUP(SalaryInfo[[#This Row],[company_size]],CompanySize[],2,FALSE)</f>
        <v>Medium</v>
      </c>
    </row>
    <row r="71" spans="1:15">
      <c r="A71">
        <v>67</v>
      </c>
      <c r="B71">
        <v>2020</v>
      </c>
      <c r="C71" t="str">
        <f>VLOOKUP(SalaryInfo[[#This Row],[experience_level]],Experience[],2,FALSE)</f>
        <v>Senior</v>
      </c>
      <c r="D71" t="s">
        <v>17</v>
      </c>
      <c r="E71" t="str">
        <f>VLOOKUP(SalaryInfo[[#This Row],[employment_type]],EmpType[],2,FALSE)</f>
        <v>Full Time</v>
      </c>
      <c r="F71" t="s">
        <v>12</v>
      </c>
      <c r="G71" t="s">
        <v>79</v>
      </c>
      <c r="H71">
        <v>190200</v>
      </c>
      <c r="I71" t="s">
        <v>19</v>
      </c>
      <c r="J71">
        <v>190200</v>
      </c>
      <c r="K71" t="s">
        <v>29</v>
      </c>
      <c r="L71">
        <v>100</v>
      </c>
      <c r="M71" t="s">
        <v>29</v>
      </c>
      <c r="N71" t="s">
        <v>25</v>
      </c>
      <c r="O71" t="str">
        <f>VLOOKUP(SalaryInfo[[#This Row],[company_size]],CompanySize[],2,FALSE)</f>
        <v>Medium</v>
      </c>
    </row>
    <row r="72" spans="1:15">
      <c r="A72">
        <v>6</v>
      </c>
      <c r="B72">
        <v>2020</v>
      </c>
      <c r="C72" t="str">
        <f>VLOOKUP(SalaryInfo[[#This Row],[experience_level]],Experience[],2,FALSE)</f>
        <v>Senior</v>
      </c>
      <c r="D72" t="s">
        <v>17</v>
      </c>
      <c r="E72" t="str">
        <f>VLOOKUP(SalaryInfo[[#This Row],[employment_type]],EmpType[],2,FALSE)</f>
        <v>Full Time</v>
      </c>
      <c r="F72" t="s">
        <v>12</v>
      </c>
      <c r="G72" t="s">
        <v>32</v>
      </c>
      <c r="H72">
        <v>190000</v>
      </c>
      <c r="I72" t="s">
        <v>19</v>
      </c>
      <c r="J72">
        <v>190000</v>
      </c>
      <c r="K72" t="s">
        <v>29</v>
      </c>
      <c r="L72">
        <v>100</v>
      </c>
      <c r="M72" t="s">
        <v>29</v>
      </c>
      <c r="N72" t="s">
        <v>21</v>
      </c>
      <c r="O72" t="str">
        <f>VLOOKUP(SalaryInfo[[#This Row],[company_size]],CompanySize[],2,FALSE)</f>
        <v>Small</v>
      </c>
    </row>
    <row r="73" spans="1:15">
      <c r="A73">
        <v>371</v>
      </c>
      <c r="B73">
        <v>2022</v>
      </c>
      <c r="C73" t="str">
        <f>VLOOKUP(SalaryInfo[[#This Row],[experience_level]],Experience[],2,FALSE)</f>
        <v>Senior</v>
      </c>
      <c r="D73" t="s">
        <v>17</v>
      </c>
      <c r="E73" t="str">
        <f>VLOOKUP(SalaryInfo[[#This Row],[employment_type]],EmpType[],2,FALSE)</f>
        <v>Full Time</v>
      </c>
      <c r="F73" t="s">
        <v>12</v>
      </c>
      <c r="G73" t="s">
        <v>28</v>
      </c>
      <c r="H73">
        <v>189650</v>
      </c>
      <c r="I73" t="s">
        <v>19</v>
      </c>
      <c r="J73">
        <v>189650</v>
      </c>
      <c r="K73" t="s">
        <v>29</v>
      </c>
      <c r="L73">
        <v>0</v>
      </c>
      <c r="M73" t="s">
        <v>29</v>
      </c>
      <c r="N73" t="s">
        <v>25</v>
      </c>
      <c r="O73" t="str">
        <f>VLOOKUP(SalaryInfo[[#This Row],[company_size]],CompanySize[],2,FALSE)</f>
        <v>Medium</v>
      </c>
    </row>
    <row r="74" spans="1:15">
      <c r="A74">
        <v>438</v>
      </c>
      <c r="B74">
        <v>2022</v>
      </c>
      <c r="C74" t="str">
        <f>VLOOKUP(SalaryInfo[[#This Row],[experience_level]],Experience[],2,FALSE)</f>
        <v>Senior</v>
      </c>
      <c r="D74" t="s">
        <v>17</v>
      </c>
      <c r="E74" t="str">
        <f>VLOOKUP(SalaryInfo[[#This Row],[employment_type]],EmpType[],2,FALSE)</f>
        <v>Full Time</v>
      </c>
      <c r="F74" t="s">
        <v>12</v>
      </c>
      <c r="G74" t="s">
        <v>28</v>
      </c>
      <c r="H74">
        <v>189650</v>
      </c>
      <c r="I74" t="s">
        <v>19</v>
      </c>
      <c r="J74">
        <v>189650</v>
      </c>
      <c r="K74" t="s">
        <v>29</v>
      </c>
      <c r="L74">
        <v>0</v>
      </c>
      <c r="M74" t="s">
        <v>29</v>
      </c>
      <c r="N74" t="s">
        <v>25</v>
      </c>
      <c r="O74" t="str">
        <f>VLOOKUP(SalaryInfo[[#This Row],[company_size]],CompanySize[],2,FALSE)</f>
        <v>Medium</v>
      </c>
    </row>
    <row r="75" spans="1:15">
      <c r="A75">
        <v>47</v>
      </c>
      <c r="B75">
        <v>2020</v>
      </c>
      <c r="C75" t="str">
        <f>VLOOKUP(SalaryInfo[[#This Row],[experience_level]],Experience[],2,FALSE)</f>
        <v>Senior</v>
      </c>
      <c r="D75" t="s">
        <v>17</v>
      </c>
      <c r="E75" t="str">
        <f>VLOOKUP(SalaryInfo[[#This Row],[employment_type]],EmpType[],2,FALSE)</f>
        <v>Full Time</v>
      </c>
      <c r="F75" t="s">
        <v>12</v>
      </c>
      <c r="G75" t="s">
        <v>43</v>
      </c>
      <c r="H75">
        <v>188000</v>
      </c>
      <c r="I75" t="s">
        <v>19</v>
      </c>
      <c r="J75">
        <v>188000</v>
      </c>
      <c r="K75" t="s">
        <v>29</v>
      </c>
      <c r="L75">
        <v>100</v>
      </c>
      <c r="M75" t="s">
        <v>29</v>
      </c>
      <c r="N75" t="s">
        <v>16</v>
      </c>
      <c r="O75" t="str">
        <f>VLOOKUP(SalaryInfo[[#This Row],[company_size]],CompanySize[],2,FALSE)</f>
        <v>Large</v>
      </c>
    </row>
    <row r="76" spans="1:15">
      <c r="A76">
        <v>106</v>
      </c>
      <c r="B76">
        <v>2021</v>
      </c>
      <c r="C76" t="str">
        <f>VLOOKUP(SalaryInfo[[#This Row],[experience_level]],Experience[],2,FALSE)</f>
        <v>Intermediate</v>
      </c>
      <c r="D76" t="s">
        <v>11</v>
      </c>
      <c r="E76" t="str">
        <f>VLOOKUP(SalaryInfo[[#This Row],[employment_type]],EmpType[],2,FALSE)</f>
        <v>Full Time</v>
      </c>
      <c r="F76" t="s">
        <v>12</v>
      </c>
      <c r="G76" t="s">
        <v>55</v>
      </c>
      <c r="H76">
        <v>235000</v>
      </c>
      <c r="I76" t="s">
        <v>61</v>
      </c>
      <c r="J76">
        <v>187442</v>
      </c>
      <c r="K76" t="s">
        <v>62</v>
      </c>
      <c r="L76">
        <v>100</v>
      </c>
      <c r="M76" t="s">
        <v>62</v>
      </c>
      <c r="N76" t="s">
        <v>16</v>
      </c>
      <c r="O76" t="str">
        <f>VLOOKUP(SalaryInfo[[#This Row],[company_size]],CompanySize[],2,FALSE)</f>
        <v>Large</v>
      </c>
    </row>
    <row r="77" spans="1:15">
      <c r="A77">
        <v>476</v>
      </c>
      <c r="B77">
        <v>2022</v>
      </c>
      <c r="C77" t="str">
        <f>VLOOKUP(SalaryInfo[[#This Row],[experience_level]],Experience[],2,FALSE)</f>
        <v>Senior</v>
      </c>
      <c r="D77" t="s">
        <v>17</v>
      </c>
      <c r="E77" t="str">
        <f>VLOOKUP(SalaryInfo[[#This Row],[employment_type]],EmpType[],2,FALSE)</f>
        <v>Full Time</v>
      </c>
      <c r="F77" t="s">
        <v>12</v>
      </c>
      <c r="G77" t="s">
        <v>13</v>
      </c>
      <c r="H77">
        <v>185100</v>
      </c>
      <c r="I77" t="s">
        <v>19</v>
      </c>
      <c r="J77">
        <v>185100</v>
      </c>
      <c r="K77" t="s">
        <v>29</v>
      </c>
      <c r="L77">
        <v>100</v>
      </c>
      <c r="M77" t="s">
        <v>29</v>
      </c>
      <c r="N77" t="s">
        <v>25</v>
      </c>
      <c r="O77" t="str">
        <f>VLOOKUP(SalaryInfo[[#This Row],[company_size]],CompanySize[],2,FALSE)</f>
        <v>Medium</v>
      </c>
    </row>
    <row r="78" spans="1:15">
      <c r="A78">
        <v>215</v>
      </c>
      <c r="B78">
        <v>2021</v>
      </c>
      <c r="C78" t="str">
        <f>VLOOKUP(SalaryInfo[[#This Row],[experience_level]],Experience[],2,FALSE)</f>
        <v>Senior</v>
      </c>
      <c r="D78" t="s">
        <v>17</v>
      </c>
      <c r="E78" t="str">
        <f>VLOOKUP(SalaryInfo[[#This Row],[employment_type]],EmpType[],2,FALSE)</f>
        <v>Full Time</v>
      </c>
      <c r="F78" t="s">
        <v>12</v>
      </c>
      <c r="G78" t="s">
        <v>97</v>
      </c>
      <c r="H78">
        <v>185000</v>
      </c>
      <c r="I78" t="s">
        <v>19</v>
      </c>
      <c r="J78">
        <v>185000</v>
      </c>
      <c r="K78" t="s">
        <v>29</v>
      </c>
      <c r="L78">
        <v>100</v>
      </c>
      <c r="M78" t="s">
        <v>29</v>
      </c>
      <c r="N78" t="s">
        <v>16</v>
      </c>
      <c r="O78" t="str">
        <f>VLOOKUP(SalaryInfo[[#This Row],[company_size]],CompanySize[],2,FALSE)</f>
        <v>Large</v>
      </c>
    </row>
    <row r="79" spans="1:15">
      <c r="A79">
        <v>258</v>
      </c>
      <c r="B79">
        <v>2021</v>
      </c>
      <c r="C79" t="str">
        <f>VLOOKUP(SalaryInfo[[#This Row],[experience_level]],Experience[],2,FALSE)</f>
        <v>Senior</v>
      </c>
      <c r="D79" t="s">
        <v>17</v>
      </c>
      <c r="E79" t="str">
        <f>VLOOKUP(SalaryInfo[[#This Row],[employment_type]],EmpType[],2,FALSE)</f>
        <v>Full Time</v>
      </c>
      <c r="F79" t="s">
        <v>12</v>
      </c>
      <c r="G79" t="s">
        <v>28</v>
      </c>
      <c r="H79">
        <v>185000</v>
      </c>
      <c r="I79" t="s">
        <v>19</v>
      </c>
      <c r="J79">
        <v>185000</v>
      </c>
      <c r="K79" t="s">
        <v>29</v>
      </c>
      <c r="L79">
        <v>50</v>
      </c>
      <c r="M79" t="s">
        <v>29</v>
      </c>
      <c r="N79" t="s">
        <v>16</v>
      </c>
      <c r="O79" t="str">
        <f>VLOOKUP(SalaryInfo[[#This Row],[company_size]],CompanySize[],2,FALSE)</f>
        <v>Large</v>
      </c>
    </row>
    <row r="80" spans="1:15">
      <c r="A80">
        <v>561</v>
      </c>
      <c r="B80">
        <v>2022</v>
      </c>
      <c r="C80" t="str">
        <f>VLOOKUP(SalaryInfo[[#This Row],[experience_level]],Experience[],2,FALSE)</f>
        <v>Senior</v>
      </c>
      <c r="D80" t="s">
        <v>17</v>
      </c>
      <c r="E80" t="str">
        <f>VLOOKUP(SalaryInfo[[#This Row],[employment_type]],EmpType[],2,FALSE)</f>
        <v>Full Time</v>
      </c>
      <c r="F80" t="s">
        <v>12</v>
      </c>
      <c r="G80" t="s">
        <v>131</v>
      </c>
      <c r="H80">
        <v>184700</v>
      </c>
      <c r="I80" t="s">
        <v>19</v>
      </c>
      <c r="J80">
        <v>184700</v>
      </c>
      <c r="K80" t="s">
        <v>29</v>
      </c>
      <c r="L80">
        <v>0</v>
      </c>
      <c r="M80" t="s">
        <v>29</v>
      </c>
      <c r="N80" t="s">
        <v>25</v>
      </c>
      <c r="O80" t="str">
        <f>VLOOKUP(SalaryInfo[[#This Row],[company_size]],CompanySize[],2,FALSE)</f>
        <v>Medium</v>
      </c>
    </row>
    <row r="81" spans="1:15">
      <c r="A81">
        <v>407</v>
      </c>
      <c r="B81">
        <v>2022</v>
      </c>
      <c r="C81" t="str">
        <f>VLOOKUP(SalaryInfo[[#This Row],[experience_level]],Experience[],2,FALSE)</f>
        <v>Senior</v>
      </c>
      <c r="D81" t="s">
        <v>17</v>
      </c>
      <c r="E81" t="str">
        <f>VLOOKUP(SalaryInfo[[#This Row],[employment_type]],EmpType[],2,FALSE)</f>
        <v>Full Time</v>
      </c>
      <c r="F81" t="s">
        <v>12</v>
      </c>
      <c r="G81" t="s">
        <v>43</v>
      </c>
      <c r="H81">
        <v>183600</v>
      </c>
      <c r="I81" t="s">
        <v>19</v>
      </c>
      <c r="J81">
        <v>183600</v>
      </c>
      <c r="K81" t="s">
        <v>29</v>
      </c>
      <c r="L81">
        <v>100</v>
      </c>
      <c r="M81" t="s">
        <v>29</v>
      </c>
      <c r="N81" t="s">
        <v>16</v>
      </c>
      <c r="O81" t="str">
        <f>VLOOKUP(SalaryInfo[[#This Row],[company_size]],CompanySize[],2,FALSE)</f>
        <v>Large</v>
      </c>
    </row>
    <row r="82" spans="1:15">
      <c r="A82">
        <v>474</v>
      </c>
      <c r="B82">
        <v>2022</v>
      </c>
      <c r="C82" t="str">
        <f>VLOOKUP(SalaryInfo[[#This Row],[experience_level]],Experience[],2,FALSE)</f>
        <v>Intermediate</v>
      </c>
      <c r="D82" t="s">
        <v>11</v>
      </c>
      <c r="E82" t="str">
        <f>VLOOKUP(SalaryInfo[[#This Row],[employment_type]],EmpType[],2,FALSE)</f>
        <v>Full Time</v>
      </c>
      <c r="F82" t="s">
        <v>12</v>
      </c>
      <c r="G82" t="s">
        <v>13</v>
      </c>
      <c r="H82">
        <v>140000</v>
      </c>
      <c r="I82" t="s">
        <v>23</v>
      </c>
      <c r="J82">
        <v>183228</v>
      </c>
      <c r="K82" t="s">
        <v>24</v>
      </c>
      <c r="L82">
        <v>0</v>
      </c>
      <c r="M82" t="s">
        <v>24</v>
      </c>
      <c r="N82" t="s">
        <v>25</v>
      </c>
      <c r="O82" t="str">
        <f>VLOOKUP(SalaryInfo[[#This Row],[company_size]],CompanySize[],2,FALSE)</f>
        <v>Medium</v>
      </c>
    </row>
    <row r="83" spans="1:15">
      <c r="A83">
        <v>319</v>
      </c>
      <c r="B83">
        <v>2022</v>
      </c>
      <c r="C83" t="str">
        <f>VLOOKUP(SalaryInfo[[#This Row],[experience_level]],Experience[],2,FALSE)</f>
        <v>Senior</v>
      </c>
      <c r="D83" t="s">
        <v>17</v>
      </c>
      <c r="E83" t="str">
        <f>VLOOKUP(SalaryInfo[[#This Row],[employment_type]],EmpType[],2,FALSE)</f>
        <v>Full Time</v>
      </c>
      <c r="F83" t="s">
        <v>12</v>
      </c>
      <c r="G83" t="s">
        <v>43</v>
      </c>
      <c r="H83">
        <v>181940</v>
      </c>
      <c r="I83" t="s">
        <v>19</v>
      </c>
      <c r="J83">
        <v>181940</v>
      </c>
      <c r="K83" t="s">
        <v>29</v>
      </c>
      <c r="L83">
        <v>0</v>
      </c>
      <c r="M83" t="s">
        <v>29</v>
      </c>
      <c r="N83" t="s">
        <v>25</v>
      </c>
      <c r="O83" t="str">
        <f>VLOOKUP(SalaryInfo[[#This Row],[company_size]],CompanySize[],2,FALSE)</f>
        <v>Medium</v>
      </c>
    </row>
    <row r="84" spans="1:15">
      <c r="A84">
        <v>323</v>
      </c>
      <c r="B84">
        <v>2022</v>
      </c>
      <c r="C84" t="str">
        <f>VLOOKUP(SalaryInfo[[#This Row],[experience_level]],Experience[],2,FALSE)</f>
        <v>Senior</v>
      </c>
      <c r="D84" t="s">
        <v>17</v>
      </c>
      <c r="E84" t="str">
        <f>VLOOKUP(SalaryInfo[[#This Row],[employment_type]],EmpType[],2,FALSE)</f>
        <v>Full Time</v>
      </c>
      <c r="F84" t="s">
        <v>12</v>
      </c>
      <c r="G84" t="s">
        <v>13</v>
      </c>
      <c r="H84">
        <v>180000</v>
      </c>
      <c r="I84" t="s">
        <v>19</v>
      </c>
      <c r="J84">
        <v>180000</v>
      </c>
      <c r="K84" t="s">
        <v>29</v>
      </c>
      <c r="L84">
        <v>0</v>
      </c>
      <c r="M84" t="s">
        <v>29</v>
      </c>
      <c r="N84" t="s">
        <v>16</v>
      </c>
      <c r="O84" t="str">
        <f>VLOOKUP(SalaryInfo[[#This Row],[company_size]],CompanySize[],2,FALSE)</f>
        <v>Large</v>
      </c>
    </row>
    <row r="85" spans="1:15">
      <c r="A85">
        <v>409</v>
      </c>
      <c r="B85">
        <v>2022</v>
      </c>
      <c r="C85" t="str">
        <f>VLOOKUP(SalaryInfo[[#This Row],[experience_level]],Experience[],2,FALSE)</f>
        <v>Senior</v>
      </c>
      <c r="D85" t="s">
        <v>17</v>
      </c>
      <c r="E85" t="str">
        <f>VLOOKUP(SalaryInfo[[#This Row],[employment_type]],EmpType[],2,FALSE)</f>
        <v>Full Time</v>
      </c>
      <c r="F85" t="s">
        <v>12</v>
      </c>
      <c r="G85" t="s">
        <v>13</v>
      </c>
      <c r="H85">
        <v>180000</v>
      </c>
      <c r="I85" t="s">
        <v>19</v>
      </c>
      <c r="J85">
        <v>180000</v>
      </c>
      <c r="K85" t="s">
        <v>29</v>
      </c>
      <c r="L85">
        <v>100</v>
      </c>
      <c r="M85" t="s">
        <v>29</v>
      </c>
      <c r="N85" t="s">
        <v>25</v>
      </c>
      <c r="O85" t="str">
        <f>VLOOKUP(SalaryInfo[[#This Row],[company_size]],CompanySize[],2,FALSE)</f>
        <v>Medium</v>
      </c>
    </row>
    <row r="86" spans="1:15">
      <c r="A86">
        <v>423</v>
      </c>
      <c r="B86">
        <v>2022</v>
      </c>
      <c r="C86" t="str">
        <f>VLOOKUP(SalaryInfo[[#This Row],[experience_level]],Experience[],2,FALSE)</f>
        <v>Senior</v>
      </c>
      <c r="D86" t="s">
        <v>17</v>
      </c>
      <c r="E86" t="str">
        <f>VLOOKUP(SalaryInfo[[#This Row],[employment_type]],EmpType[],2,FALSE)</f>
        <v>Full Time</v>
      </c>
      <c r="F86" t="s">
        <v>12</v>
      </c>
      <c r="G86" t="s">
        <v>13</v>
      </c>
      <c r="H86">
        <v>180000</v>
      </c>
      <c r="I86" t="s">
        <v>19</v>
      </c>
      <c r="J86">
        <v>180000</v>
      </c>
      <c r="K86" t="s">
        <v>29</v>
      </c>
      <c r="L86">
        <v>0</v>
      </c>
      <c r="M86" t="s">
        <v>29</v>
      </c>
      <c r="N86" t="s">
        <v>25</v>
      </c>
      <c r="O86" t="str">
        <f>VLOOKUP(SalaryInfo[[#This Row],[company_size]],CompanySize[],2,FALSE)</f>
        <v>Medium</v>
      </c>
    </row>
    <row r="87" spans="1:15">
      <c r="A87">
        <v>448</v>
      </c>
      <c r="B87">
        <v>2022</v>
      </c>
      <c r="C87" t="str">
        <f>VLOOKUP(SalaryInfo[[#This Row],[experience_level]],Experience[],2,FALSE)</f>
        <v>Senior</v>
      </c>
      <c r="D87" t="s">
        <v>17</v>
      </c>
      <c r="E87" t="str">
        <f>VLOOKUP(SalaryInfo[[#This Row],[employment_type]],EmpType[],2,FALSE)</f>
        <v>Full Time</v>
      </c>
      <c r="F87" t="s">
        <v>12</v>
      </c>
      <c r="G87" t="s">
        <v>43</v>
      </c>
      <c r="H87">
        <v>180000</v>
      </c>
      <c r="I87" t="s">
        <v>19</v>
      </c>
      <c r="J87">
        <v>180000</v>
      </c>
      <c r="K87" t="s">
        <v>29</v>
      </c>
      <c r="L87">
        <v>100</v>
      </c>
      <c r="M87" t="s">
        <v>29</v>
      </c>
      <c r="N87" t="s">
        <v>25</v>
      </c>
      <c r="O87" t="str">
        <f>VLOOKUP(SalaryInfo[[#This Row],[company_size]],CompanySize[],2,FALSE)</f>
        <v>Medium</v>
      </c>
    </row>
    <row r="88" spans="1:15">
      <c r="A88">
        <v>234</v>
      </c>
      <c r="B88">
        <v>2021</v>
      </c>
      <c r="C88" t="str">
        <f>VLOOKUP(SalaryInfo[[#This Row],[experience_level]],Experience[],2,FALSE)</f>
        <v>Intermediate</v>
      </c>
      <c r="D88" t="s">
        <v>11</v>
      </c>
      <c r="E88" t="str">
        <f>VLOOKUP(SalaryInfo[[#This Row],[employment_type]],EmpType[],2,FALSE)</f>
        <v>Full Time</v>
      </c>
      <c r="F88" t="s">
        <v>12</v>
      </c>
      <c r="G88" t="s">
        <v>109</v>
      </c>
      <c r="H88">
        <v>180000</v>
      </c>
      <c r="I88" t="s">
        <v>19</v>
      </c>
      <c r="J88">
        <v>180000</v>
      </c>
      <c r="K88" t="s">
        <v>29</v>
      </c>
      <c r="L88">
        <v>100</v>
      </c>
      <c r="M88" t="s">
        <v>29</v>
      </c>
      <c r="N88" t="s">
        <v>16</v>
      </c>
      <c r="O88" t="str">
        <f>VLOOKUP(SalaryInfo[[#This Row],[company_size]],CompanySize[],2,FALSE)</f>
        <v>Large</v>
      </c>
    </row>
    <row r="89" spans="1:15">
      <c r="A89">
        <v>525</v>
      </c>
      <c r="B89">
        <v>2022</v>
      </c>
      <c r="C89" t="str">
        <f>VLOOKUP(SalaryInfo[[#This Row],[experience_level]],Experience[],2,FALSE)</f>
        <v>Senior</v>
      </c>
      <c r="D89" t="s">
        <v>17</v>
      </c>
      <c r="E89" t="str">
        <f>VLOOKUP(SalaryInfo[[#This Row],[employment_type]],EmpType[],2,FALSE)</f>
        <v>Full Time</v>
      </c>
      <c r="F89" t="s">
        <v>12</v>
      </c>
      <c r="G89" t="s">
        <v>84</v>
      </c>
      <c r="H89">
        <v>177000</v>
      </c>
      <c r="I89" t="s">
        <v>19</v>
      </c>
      <c r="J89">
        <v>177000</v>
      </c>
      <c r="K89" t="s">
        <v>29</v>
      </c>
      <c r="L89">
        <v>100</v>
      </c>
      <c r="M89" t="s">
        <v>29</v>
      </c>
      <c r="N89" t="s">
        <v>16</v>
      </c>
      <c r="O89" t="str">
        <f>VLOOKUP(SalaryInfo[[#This Row],[company_size]],CompanySize[],2,FALSE)</f>
        <v>Large</v>
      </c>
    </row>
    <row r="90" spans="1:15">
      <c r="A90">
        <v>552</v>
      </c>
      <c r="B90">
        <v>2022</v>
      </c>
      <c r="C90" t="str">
        <f>VLOOKUP(SalaryInfo[[#This Row],[experience_level]],Experience[],2,FALSE)</f>
        <v>Senior</v>
      </c>
      <c r="D90" t="s">
        <v>17</v>
      </c>
      <c r="E90" t="str">
        <f>VLOOKUP(SalaryInfo[[#This Row],[employment_type]],EmpType[],2,FALSE)</f>
        <v>Full Time</v>
      </c>
      <c r="F90" t="s">
        <v>12</v>
      </c>
      <c r="G90" t="s">
        <v>13</v>
      </c>
      <c r="H90">
        <v>176000</v>
      </c>
      <c r="I90" t="s">
        <v>19</v>
      </c>
      <c r="J90">
        <v>176000</v>
      </c>
      <c r="K90" t="s">
        <v>29</v>
      </c>
      <c r="L90">
        <v>100</v>
      </c>
      <c r="M90" t="s">
        <v>29</v>
      </c>
      <c r="N90" t="s">
        <v>25</v>
      </c>
      <c r="O90" t="str">
        <f>VLOOKUP(SalaryInfo[[#This Row],[company_size]],CompanySize[],2,FALSE)</f>
        <v>Medium</v>
      </c>
    </row>
    <row r="91" spans="1:15">
      <c r="A91">
        <v>562</v>
      </c>
      <c r="B91">
        <v>2022</v>
      </c>
      <c r="C91" t="str">
        <f>VLOOKUP(SalaryInfo[[#This Row],[experience_level]],Experience[],2,FALSE)</f>
        <v>Senior</v>
      </c>
      <c r="D91" t="s">
        <v>17</v>
      </c>
      <c r="E91" t="str">
        <f>VLOOKUP(SalaryInfo[[#This Row],[employment_type]],EmpType[],2,FALSE)</f>
        <v>Full Time</v>
      </c>
      <c r="F91" t="s">
        <v>12</v>
      </c>
      <c r="G91" t="s">
        <v>43</v>
      </c>
      <c r="H91">
        <v>175100</v>
      </c>
      <c r="I91" t="s">
        <v>19</v>
      </c>
      <c r="J91">
        <v>175100</v>
      </c>
      <c r="K91" t="s">
        <v>29</v>
      </c>
      <c r="L91">
        <v>100</v>
      </c>
      <c r="M91" t="s">
        <v>29</v>
      </c>
      <c r="N91" t="s">
        <v>25</v>
      </c>
      <c r="O91" t="str">
        <f>VLOOKUP(SalaryInfo[[#This Row],[company_size]],CompanySize[],2,FALSE)</f>
        <v>Medium</v>
      </c>
    </row>
    <row r="92" spans="1:15">
      <c r="A92">
        <v>344</v>
      </c>
      <c r="B92">
        <v>2022</v>
      </c>
      <c r="C92" t="str">
        <f>VLOOKUP(SalaryInfo[[#This Row],[experience_level]],Experience[],2,FALSE)</f>
        <v>Director</v>
      </c>
      <c r="D92" t="s">
        <v>53</v>
      </c>
      <c r="E92" t="str">
        <f>VLOOKUP(SalaryInfo[[#This Row],[employment_type]],EmpType[],2,FALSE)</f>
        <v>Full Time</v>
      </c>
      <c r="F92" t="s">
        <v>12</v>
      </c>
      <c r="G92" t="s">
        <v>131</v>
      </c>
      <c r="H92">
        <v>175000</v>
      </c>
      <c r="I92" t="s">
        <v>19</v>
      </c>
      <c r="J92">
        <v>175000</v>
      </c>
      <c r="K92" t="s">
        <v>29</v>
      </c>
      <c r="L92">
        <v>100</v>
      </c>
      <c r="M92" t="s">
        <v>29</v>
      </c>
      <c r="N92" t="s">
        <v>25</v>
      </c>
      <c r="O92" t="str">
        <f>VLOOKUP(SalaryInfo[[#This Row],[company_size]],CompanySize[],2,FALSE)</f>
        <v>Medium</v>
      </c>
    </row>
    <row r="93" spans="1:15">
      <c r="A93">
        <v>404</v>
      </c>
      <c r="B93">
        <v>2022</v>
      </c>
      <c r="C93" t="str">
        <f>VLOOKUP(SalaryInfo[[#This Row],[experience_level]],Experience[],2,FALSE)</f>
        <v>Senior</v>
      </c>
      <c r="D93" t="s">
        <v>17</v>
      </c>
      <c r="E93" t="str">
        <f>VLOOKUP(SalaryInfo[[#This Row],[employment_type]],EmpType[],2,FALSE)</f>
        <v>Full Time</v>
      </c>
      <c r="F93" t="s">
        <v>12</v>
      </c>
      <c r="G93" t="s">
        <v>43</v>
      </c>
      <c r="H93">
        <v>175000</v>
      </c>
      <c r="I93" t="s">
        <v>19</v>
      </c>
      <c r="J93">
        <v>175000</v>
      </c>
      <c r="K93" t="s">
        <v>29</v>
      </c>
      <c r="L93">
        <v>100</v>
      </c>
      <c r="M93" t="s">
        <v>29</v>
      </c>
      <c r="N93" t="s">
        <v>25</v>
      </c>
      <c r="O93" t="str">
        <f>VLOOKUP(SalaryInfo[[#This Row],[company_size]],CompanySize[],2,FALSE)</f>
        <v>Medium</v>
      </c>
    </row>
    <row r="94" spans="1:15">
      <c r="A94">
        <v>175</v>
      </c>
      <c r="B94">
        <v>2021</v>
      </c>
      <c r="C94" t="str">
        <f>VLOOKUP(SalaryInfo[[#This Row],[experience_level]],Experience[],2,FALSE)</f>
        <v>Senior</v>
      </c>
      <c r="D94" t="s">
        <v>17</v>
      </c>
      <c r="E94" t="str">
        <f>VLOOKUP(SalaryInfo[[#This Row],[employment_type]],EmpType[],2,FALSE)</f>
        <v>Full Time</v>
      </c>
      <c r="F94" t="s">
        <v>12</v>
      </c>
      <c r="G94" t="s">
        <v>63</v>
      </c>
      <c r="H94">
        <v>174000</v>
      </c>
      <c r="I94" t="s">
        <v>19</v>
      </c>
      <c r="J94">
        <v>174000</v>
      </c>
      <c r="K94" t="s">
        <v>29</v>
      </c>
      <c r="L94">
        <v>100</v>
      </c>
      <c r="M94" t="s">
        <v>29</v>
      </c>
      <c r="N94" t="s">
        <v>16</v>
      </c>
      <c r="O94" t="str">
        <f>VLOOKUP(SalaryInfo[[#This Row],[company_size]],CompanySize[],2,FALSE)</f>
        <v>Large</v>
      </c>
    </row>
    <row r="95" spans="1:15">
      <c r="A95">
        <v>193</v>
      </c>
      <c r="B95">
        <v>2021</v>
      </c>
      <c r="C95" t="str">
        <f>VLOOKUP(SalaryInfo[[#This Row],[experience_level]],Experience[],2,FALSE)</f>
        <v>Senior</v>
      </c>
      <c r="D95" t="s">
        <v>17</v>
      </c>
      <c r="E95" t="str">
        <f>VLOOKUP(SalaryInfo[[#This Row],[employment_type]],EmpType[],2,FALSE)</f>
        <v>Full Time</v>
      </c>
      <c r="F95" t="s">
        <v>12</v>
      </c>
      <c r="G95" t="s">
        <v>79</v>
      </c>
      <c r="H95">
        <v>174000</v>
      </c>
      <c r="I95" t="s">
        <v>19</v>
      </c>
      <c r="J95">
        <v>174000</v>
      </c>
      <c r="K95" t="s">
        <v>29</v>
      </c>
      <c r="L95">
        <v>100</v>
      </c>
      <c r="M95" t="s">
        <v>29</v>
      </c>
      <c r="N95" t="s">
        <v>16</v>
      </c>
      <c r="O95" t="str">
        <f>VLOOKUP(SalaryInfo[[#This Row],[company_size]],CompanySize[],2,FALSE)</f>
        <v>Large</v>
      </c>
    </row>
    <row r="96" spans="1:15">
      <c r="A96">
        <v>257</v>
      </c>
      <c r="B96">
        <v>2021</v>
      </c>
      <c r="C96" t="str">
        <f>VLOOKUP(SalaryInfo[[#This Row],[experience_level]],Experience[],2,FALSE)</f>
        <v>Senior</v>
      </c>
      <c r="D96" t="s">
        <v>17</v>
      </c>
      <c r="E96" t="str">
        <f>VLOOKUP(SalaryInfo[[#This Row],[employment_type]],EmpType[],2,FALSE)</f>
        <v>Full Time</v>
      </c>
      <c r="F96" t="s">
        <v>12</v>
      </c>
      <c r="G96" t="s">
        <v>76</v>
      </c>
      <c r="H96">
        <v>147000</v>
      </c>
      <c r="I96" t="s">
        <v>14</v>
      </c>
      <c r="J96">
        <v>173762</v>
      </c>
      <c r="K96" t="s">
        <v>15</v>
      </c>
      <c r="L96">
        <v>100</v>
      </c>
      <c r="M96" t="s">
        <v>15</v>
      </c>
      <c r="N96" t="s">
        <v>25</v>
      </c>
      <c r="O96" t="str">
        <f>VLOOKUP(SalaryInfo[[#This Row],[company_size]],CompanySize[],2,FALSE)</f>
        <v>Medium</v>
      </c>
    </row>
    <row r="97" spans="1:15">
      <c r="A97">
        <v>88</v>
      </c>
      <c r="B97">
        <v>2021</v>
      </c>
      <c r="C97" t="str">
        <f>VLOOKUP(SalaryInfo[[#This Row],[experience_level]],Experience[],2,FALSE)</f>
        <v>Senior</v>
      </c>
      <c r="D97" t="s">
        <v>17</v>
      </c>
      <c r="E97" t="str">
        <f>VLOOKUP(SalaryInfo[[#This Row],[employment_type]],EmpType[],2,FALSE)</f>
        <v>Full Time</v>
      </c>
      <c r="F97" t="s">
        <v>12</v>
      </c>
      <c r="G97" t="s">
        <v>41</v>
      </c>
      <c r="H97">
        <v>170000</v>
      </c>
      <c r="I97" t="s">
        <v>19</v>
      </c>
      <c r="J97">
        <v>170000</v>
      </c>
      <c r="K97" t="s">
        <v>29</v>
      </c>
      <c r="L97">
        <v>100</v>
      </c>
      <c r="M97" t="s">
        <v>29</v>
      </c>
      <c r="N97" t="s">
        <v>16</v>
      </c>
      <c r="O97" t="str">
        <f>VLOOKUP(SalaryInfo[[#This Row],[company_size]],CompanySize[],2,FALSE)</f>
        <v>Large</v>
      </c>
    </row>
    <row r="98" spans="1:15">
      <c r="A98">
        <v>249</v>
      </c>
      <c r="B98">
        <v>2021</v>
      </c>
      <c r="C98" t="str">
        <f>VLOOKUP(SalaryInfo[[#This Row],[experience_level]],Experience[],2,FALSE)</f>
        <v>Senior</v>
      </c>
      <c r="D98" t="s">
        <v>17</v>
      </c>
      <c r="E98" t="str">
        <f>VLOOKUP(SalaryInfo[[#This Row],[employment_type]],EmpType[],2,FALSE)</f>
        <v>Full Time</v>
      </c>
      <c r="F98" t="s">
        <v>12</v>
      </c>
      <c r="G98" t="s">
        <v>124</v>
      </c>
      <c r="H98">
        <v>170000</v>
      </c>
      <c r="I98" t="s">
        <v>19</v>
      </c>
      <c r="J98">
        <v>170000</v>
      </c>
      <c r="K98" t="s">
        <v>29</v>
      </c>
      <c r="L98">
        <v>100</v>
      </c>
      <c r="M98" t="s">
        <v>29</v>
      </c>
      <c r="N98" t="s">
        <v>25</v>
      </c>
      <c r="O98" t="str">
        <f>VLOOKUP(SalaryInfo[[#This Row],[company_size]],CompanySize[],2,FALSE)</f>
        <v>Medium</v>
      </c>
    </row>
    <row r="99" spans="1:15">
      <c r="A99">
        <v>328</v>
      </c>
      <c r="B99">
        <v>2022</v>
      </c>
      <c r="C99" t="str">
        <f>VLOOKUP(SalaryInfo[[#This Row],[experience_level]],Experience[],2,FALSE)</f>
        <v>Senior</v>
      </c>
      <c r="D99" t="s">
        <v>17</v>
      </c>
      <c r="E99" t="str">
        <f>VLOOKUP(SalaryInfo[[#This Row],[employment_type]],EmpType[],2,FALSE)</f>
        <v>Full Time</v>
      </c>
      <c r="F99" t="s">
        <v>12</v>
      </c>
      <c r="G99" t="s">
        <v>31</v>
      </c>
      <c r="H99">
        <v>170000</v>
      </c>
      <c r="I99" t="s">
        <v>19</v>
      </c>
      <c r="J99">
        <v>170000</v>
      </c>
      <c r="K99" t="s">
        <v>29</v>
      </c>
      <c r="L99">
        <v>100</v>
      </c>
      <c r="M99" t="s">
        <v>29</v>
      </c>
      <c r="N99" t="s">
        <v>25</v>
      </c>
      <c r="O99" t="str">
        <f>VLOOKUP(SalaryInfo[[#This Row],[company_size]],CompanySize[],2,FALSE)</f>
        <v>Medium</v>
      </c>
    </row>
    <row r="100" spans="1:15">
      <c r="A100">
        <v>369</v>
      </c>
      <c r="B100">
        <v>2022</v>
      </c>
      <c r="C100" t="str">
        <f>VLOOKUP(SalaryInfo[[#This Row],[experience_level]],Experience[],2,FALSE)</f>
        <v>Senior</v>
      </c>
      <c r="D100" t="s">
        <v>17</v>
      </c>
      <c r="E100" t="str">
        <f>VLOOKUP(SalaryInfo[[#This Row],[employment_type]],EmpType[],2,FALSE)</f>
        <v>Full Time</v>
      </c>
      <c r="F100" t="s">
        <v>12</v>
      </c>
      <c r="G100" t="s">
        <v>13</v>
      </c>
      <c r="H100">
        <v>170000</v>
      </c>
      <c r="I100" t="s">
        <v>19</v>
      </c>
      <c r="J100">
        <v>170000</v>
      </c>
      <c r="K100" t="s">
        <v>29</v>
      </c>
      <c r="L100">
        <v>100</v>
      </c>
      <c r="M100" t="s">
        <v>29</v>
      </c>
      <c r="N100" t="s">
        <v>25</v>
      </c>
      <c r="O100" t="str">
        <f>VLOOKUP(SalaryInfo[[#This Row],[company_size]],CompanySize[],2,FALSE)</f>
        <v>Medium</v>
      </c>
    </row>
    <row r="101" spans="1:15">
      <c r="A101">
        <v>170</v>
      </c>
      <c r="B101">
        <v>2021</v>
      </c>
      <c r="C101" t="str">
        <f>VLOOKUP(SalaryInfo[[#This Row],[experience_level]],Experience[],2,FALSE)</f>
        <v>Intermediate</v>
      </c>
      <c r="D101" t="s">
        <v>11</v>
      </c>
      <c r="E101" t="str">
        <f>VLOOKUP(SalaryInfo[[#This Row],[employment_type]],EmpType[],2,FALSE)</f>
        <v>Full Time</v>
      </c>
      <c r="F101" t="s">
        <v>12</v>
      </c>
      <c r="G101" t="s">
        <v>109</v>
      </c>
      <c r="H101">
        <v>170000</v>
      </c>
      <c r="I101" t="s">
        <v>19</v>
      </c>
      <c r="J101">
        <v>170000</v>
      </c>
      <c r="K101" t="s">
        <v>29</v>
      </c>
      <c r="L101">
        <v>100</v>
      </c>
      <c r="M101" t="s">
        <v>29</v>
      </c>
      <c r="N101" t="s">
        <v>16</v>
      </c>
      <c r="O101" t="str">
        <f>VLOOKUP(SalaryInfo[[#This Row],[company_size]],CompanySize[],2,FALSE)</f>
        <v>Large</v>
      </c>
    </row>
    <row r="102" spans="1:15">
      <c r="A102">
        <v>294</v>
      </c>
      <c r="B102">
        <v>2022</v>
      </c>
      <c r="C102" t="str">
        <f>VLOOKUP(SalaryInfo[[#This Row],[experience_level]],Experience[],2,FALSE)</f>
        <v>Intermediate</v>
      </c>
      <c r="D102" t="s">
        <v>11</v>
      </c>
      <c r="E102" t="str">
        <f>VLOOKUP(SalaryInfo[[#This Row],[employment_type]],EmpType[],2,FALSE)</f>
        <v>Full Time</v>
      </c>
      <c r="F102" t="s">
        <v>12</v>
      </c>
      <c r="G102" t="s">
        <v>43</v>
      </c>
      <c r="H102">
        <v>170000</v>
      </c>
      <c r="I102" t="s">
        <v>19</v>
      </c>
      <c r="J102">
        <v>170000</v>
      </c>
      <c r="K102" t="s">
        <v>29</v>
      </c>
      <c r="L102">
        <v>100</v>
      </c>
      <c r="M102" t="s">
        <v>29</v>
      </c>
      <c r="N102" t="s">
        <v>25</v>
      </c>
      <c r="O102" t="str">
        <f>VLOOKUP(SalaryInfo[[#This Row],[company_size]],CompanySize[],2,FALSE)</f>
        <v>Medium</v>
      </c>
    </row>
    <row r="103" spans="1:15">
      <c r="A103">
        <v>566</v>
      </c>
      <c r="B103">
        <v>2022</v>
      </c>
      <c r="C103" t="str">
        <f>VLOOKUP(SalaryInfo[[#This Row],[experience_level]],Experience[],2,FALSE)</f>
        <v>Senior</v>
      </c>
      <c r="D103" t="s">
        <v>17</v>
      </c>
      <c r="E103" t="str">
        <f>VLOOKUP(SalaryInfo[[#This Row],[employment_type]],EmpType[],2,FALSE)</f>
        <v>Full Time</v>
      </c>
      <c r="F103" t="s">
        <v>12</v>
      </c>
      <c r="G103" t="s">
        <v>31</v>
      </c>
      <c r="H103">
        <v>170000</v>
      </c>
      <c r="I103" t="s">
        <v>19</v>
      </c>
      <c r="J103">
        <v>170000</v>
      </c>
      <c r="K103" t="s">
        <v>29</v>
      </c>
      <c r="L103">
        <v>100</v>
      </c>
      <c r="M103" t="s">
        <v>29</v>
      </c>
      <c r="N103" t="s">
        <v>25</v>
      </c>
      <c r="O103" t="str">
        <f>VLOOKUP(SalaryInfo[[#This Row],[company_size]],CompanySize[],2,FALSE)</f>
        <v>Medium</v>
      </c>
    </row>
    <row r="104" spans="1:15">
      <c r="A104">
        <v>597</v>
      </c>
      <c r="B104">
        <v>2022</v>
      </c>
      <c r="C104" t="str">
        <f>VLOOKUP(SalaryInfo[[#This Row],[experience_level]],Experience[],2,FALSE)</f>
        <v>Senior</v>
      </c>
      <c r="D104" t="s">
        <v>17</v>
      </c>
      <c r="E104" t="str">
        <f>VLOOKUP(SalaryInfo[[#This Row],[employment_type]],EmpType[],2,FALSE)</f>
        <v>Full Time</v>
      </c>
      <c r="F104" t="s">
        <v>12</v>
      </c>
      <c r="G104" t="s">
        <v>31</v>
      </c>
      <c r="H104">
        <v>170000</v>
      </c>
      <c r="I104" t="s">
        <v>19</v>
      </c>
      <c r="J104">
        <v>170000</v>
      </c>
      <c r="K104" t="s">
        <v>29</v>
      </c>
      <c r="L104">
        <v>100</v>
      </c>
      <c r="M104" t="s">
        <v>29</v>
      </c>
      <c r="N104" t="s">
        <v>25</v>
      </c>
      <c r="O104" t="str">
        <f>VLOOKUP(SalaryInfo[[#This Row],[company_size]],CompanySize[],2,FALSE)</f>
        <v>Medium</v>
      </c>
    </row>
    <row r="105" spans="1:15">
      <c r="A105">
        <v>150</v>
      </c>
      <c r="B105">
        <v>2021</v>
      </c>
      <c r="C105" t="str">
        <f>VLOOKUP(SalaryInfo[[#This Row],[experience_level]],Experience[],2,FALSE)</f>
        <v>Senior</v>
      </c>
      <c r="D105" t="s">
        <v>17</v>
      </c>
      <c r="E105" t="str">
        <f>VLOOKUP(SalaryInfo[[#This Row],[employment_type]],EmpType[],2,FALSE)</f>
        <v>Full Time</v>
      </c>
      <c r="F105" t="s">
        <v>12</v>
      </c>
      <c r="G105" t="s">
        <v>54</v>
      </c>
      <c r="H105">
        <v>168000</v>
      </c>
      <c r="I105" t="s">
        <v>19</v>
      </c>
      <c r="J105">
        <v>168000</v>
      </c>
      <c r="K105" t="s">
        <v>20</v>
      </c>
      <c r="L105">
        <v>0</v>
      </c>
      <c r="M105" t="s">
        <v>20</v>
      </c>
      <c r="N105" t="s">
        <v>21</v>
      </c>
      <c r="O105" t="str">
        <f>VLOOKUP(SalaryInfo[[#This Row],[company_size]],CompanySize[],2,FALSE)</f>
        <v>Small</v>
      </c>
    </row>
    <row r="106" spans="1:15">
      <c r="A106">
        <v>343</v>
      </c>
      <c r="B106">
        <v>2022</v>
      </c>
      <c r="C106" t="str">
        <f>VLOOKUP(SalaryInfo[[#This Row],[experience_level]],Experience[],2,FALSE)</f>
        <v>Director</v>
      </c>
      <c r="D106" t="s">
        <v>53</v>
      </c>
      <c r="E106" t="str">
        <f>VLOOKUP(SalaryInfo[[#This Row],[employment_type]],EmpType[],2,FALSE)</f>
        <v>Full Time</v>
      </c>
      <c r="F106" t="s">
        <v>12</v>
      </c>
      <c r="G106" t="s">
        <v>106</v>
      </c>
      <c r="H106">
        <v>167875</v>
      </c>
      <c r="I106" t="s">
        <v>19</v>
      </c>
      <c r="J106">
        <v>167875</v>
      </c>
      <c r="K106" t="s">
        <v>29</v>
      </c>
      <c r="L106">
        <v>100</v>
      </c>
      <c r="M106" t="s">
        <v>29</v>
      </c>
      <c r="N106" t="s">
        <v>25</v>
      </c>
      <c r="O106" t="str">
        <f>VLOOKUP(SalaryInfo[[#This Row],[company_size]],CompanySize[],2,FALSE)</f>
        <v>Medium</v>
      </c>
    </row>
    <row r="107" spans="1:15">
      <c r="A107">
        <v>352</v>
      </c>
      <c r="B107">
        <v>2022</v>
      </c>
      <c r="C107" t="str">
        <f>VLOOKUP(SalaryInfo[[#This Row],[experience_level]],Experience[],2,FALSE)</f>
        <v>Senior</v>
      </c>
      <c r="D107" t="s">
        <v>17</v>
      </c>
      <c r="E107" t="str">
        <f>VLOOKUP(SalaryInfo[[#This Row],[employment_type]],EmpType[],2,FALSE)</f>
        <v>Full Time</v>
      </c>
      <c r="F107" t="s">
        <v>12</v>
      </c>
      <c r="G107" t="s">
        <v>13</v>
      </c>
      <c r="H107">
        <v>167000</v>
      </c>
      <c r="I107" t="s">
        <v>19</v>
      </c>
      <c r="J107">
        <v>167000</v>
      </c>
      <c r="K107" t="s">
        <v>29</v>
      </c>
      <c r="L107">
        <v>100</v>
      </c>
      <c r="M107" t="s">
        <v>29</v>
      </c>
      <c r="N107" t="s">
        <v>25</v>
      </c>
      <c r="O107" t="str">
        <f>VLOOKUP(SalaryInfo[[#This Row],[company_size]],CompanySize[],2,FALSE)</f>
        <v>Medium</v>
      </c>
    </row>
    <row r="108" spans="1:15">
      <c r="A108">
        <v>336</v>
      </c>
      <c r="B108">
        <v>2022</v>
      </c>
      <c r="C108" t="str">
        <f>VLOOKUP(SalaryInfo[[#This Row],[experience_level]],Experience[],2,FALSE)</f>
        <v>Intermediate</v>
      </c>
      <c r="D108" t="s">
        <v>11</v>
      </c>
      <c r="E108" t="str">
        <f>VLOOKUP(SalaryInfo[[#This Row],[employment_type]],EmpType[],2,FALSE)</f>
        <v>Full Time</v>
      </c>
      <c r="F108" t="s">
        <v>12</v>
      </c>
      <c r="G108" t="s">
        <v>31</v>
      </c>
      <c r="H108">
        <v>167000</v>
      </c>
      <c r="I108" t="s">
        <v>19</v>
      </c>
      <c r="J108">
        <v>167000</v>
      </c>
      <c r="K108" t="s">
        <v>29</v>
      </c>
      <c r="L108">
        <v>100</v>
      </c>
      <c r="M108" t="s">
        <v>29</v>
      </c>
      <c r="N108" t="s">
        <v>25</v>
      </c>
      <c r="O108" t="str">
        <f>VLOOKUP(SalaryInfo[[#This Row],[company_size]],CompanySize[],2,FALSE)</f>
        <v>Medium</v>
      </c>
    </row>
    <row r="109" spans="1:15">
      <c r="A109">
        <v>334</v>
      </c>
      <c r="B109">
        <v>2022</v>
      </c>
      <c r="C109" t="str">
        <f>VLOOKUP(SalaryInfo[[#This Row],[experience_level]],Experience[],2,FALSE)</f>
        <v>Senior</v>
      </c>
      <c r="D109" t="s">
        <v>17</v>
      </c>
      <c r="E109" t="str">
        <f>VLOOKUP(SalaryInfo[[#This Row],[employment_type]],EmpType[],2,FALSE)</f>
        <v>Full Time</v>
      </c>
      <c r="F109" t="s">
        <v>12</v>
      </c>
      <c r="G109" t="s">
        <v>43</v>
      </c>
      <c r="H109">
        <v>165400</v>
      </c>
      <c r="I109" t="s">
        <v>19</v>
      </c>
      <c r="J109">
        <v>165400</v>
      </c>
      <c r="K109" t="s">
        <v>29</v>
      </c>
      <c r="L109">
        <v>100</v>
      </c>
      <c r="M109" t="s">
        <v>29</v>
      </c>
      <c r="N109" t="s">
        <v>25</v>
      </c>
      <c r="O109" t="str">
        <f>VLOOKUP(SalaryInfo[[#This Row],[company_size]],CompanySize[],2,FALSE)</f>
        <v>Medium</v>
      </c>
    </row>
    <row r="110" spans="1:15">
      <c r="A110">
        <v>377</v>
      </c>
      <c r="B110">
        <v>2022</v>
      </c>
      <c r="C110" t="str">
        <f>VLOOKUP(SalaryInfo[[#This Row],[experience_level]],Experience[],2,FALSE)</f>
        <v>Senior</v>
      </c>
      <c r="D110" t="s">
        <v>17</v>
      </c>
      <c r="E110" t="str">
        <f>VLOOKUP(SalaryInfo[[#This Row],[employment_type]],EmpType[],2,FALSE)</f>
        <v>Full Time</v>
      </c>
      <c r="F110" t="s">
        <v>12</v>
      </c>
      <c r="G110" t="s">
        <v>43</v>
      </c>
      <c r="H110">
        <v>165400</v>
      </c>
      <c r="I110" t="s">
        <v>19</v>
      </c>
      <c r="J110">
        <v>165400</v>
      </c>
      <c r="K110" t="s">
        <v>29</v>
      </c>
      <c r="L110">
        <v>100</v>
      </c>
      <c r="M110" t="s">
        <v>29</v>
      </c>
      <c r="N110" t="s">
        <v>25</v>
      </c>
      <c r="O110" t="str">
        <f>VLOOKUP(SalaryInfo[[#This Row],[company_size]],CompanySize[],2,FALSE)</f>
        <v>Medium</v>
      </c>
    </row>
    <row r="111" spans="1:15">
      <c r="A111">
        <v>315</v>
      </c>
      <c r="B111">
        <v>2022</v>
      </c>
      <c r="C111" t="str">
        <f>VLOOKUP(SalaryInfo[[#This Row],[experience_level]],Experience[],2,FALSE)</f>
        <v>Senior</v>
      </c>
      <c r="D111" t="s">
        <v>17</v>
      </c>
      <c r="E111" t="str">
        <f>VLOOKUP(SalaryInfo[[#This Row],[employment_type]],EmpType[],2,FALSE)</f>
        <v>Full Time</v>
      </c>
      <c r="F111" t="s">
        <v>12</v>
      </c>
      <c r="G111" t="s">
        <v>13</v>
      </c>
      <c r="H111">
        <v>165220</v>
      </c>
      <c r="I111" t="s">
        <v>19</v>
      </c>
      <c r="J111">
        <v>165220</v>
      </c>
      <c r="K111" t="s">
        <v>29</v>
      </c>
      <c r="L111">
        <v>100</v>
      </c>
      <c r="M111" t="s">
        <v>29</v>
      </c>
      <c r="N111" t="s">
        <v>25</v>
      </c>
      <c r="O111" t="str">
        <f>VLOOKUP(SalaryInfo[[#This Row],[company_size]],CompanySize[],2,FALSE)</f>
        <v>Medium</v>
      </c>
    </row>
    <row r="112" spans="1:15">
      <c r="A112">
        <v>165</v>
      </c>
      <c r="B112">
        <v>2021</v>
      </c>
      <c r="C112" t="str">
        <f>VLOOKUP(SalaryInfo[[#This Row],[experience_level]],Experience[],2,FALSE)</f>
        <v>Senior</v>
      </c>
      <c r="D112" t="s">
        <v>17</v>
      </c>
      <c r="E112" t="str">
        <f>VLOOKUP(SalaryInfo[[#This Row],[employment_type]],EmpType[],2,FALSE)</f>
        <v>Full Time</v>
      </c>
      <c r="F112" t="s">
        <v>12</v>
      </c>
      <c r="G112" t="s">
        <v>108</v>
      </c>
      <c r="H112">
        <v>165000</v>
      </c>
      <c r="I112" t="s">
        <v>19</v>
      </c>
      <c r="J112">
        <v>165000</v>
      </c>
      <c r="K112" t="s">
        <v>29</v>
      </c>
      <c r="L112">
        <v>100</v>
      </c>
      <c r="M112" t="s">
        <v>29</v>
      </c>
      <c r="N112" t="s">
        <v>16</v>
      </c>
      <c r="O112" t="str">
        <f>VLOOKUP(SalaryInfo[[#This Row],[company_size]],CompanySize[],2,FALSE)</f>
        <v>Large</v>
      </c>
    </row>
    <row r="113" spans="1:15">
      <c r="A113">
        <v>207</v>
      </c>
      <c r="B113">
        <v>2021</v>
      </c>
      <c r="C113" t="str">
        <f>VLOOKUP(SalaryInfo[[#This Row],[experience_level]],Experience[],2,FALSE)</f>
        <v>Senior</v>
      </c>
      <c r="D113" t="s">
        <v>17</v>
      </c>
      <c r="E113" t="str">
        <f>VLOOKUP(SalaryInfo[[#This Row],[employment_type]],EmpType[],2,FALSE)</f>
        <v>Full Time</v>
      </c>
      <c r="F113" t="s">
        <v>12</v>
      </c>
      <c r="G113" t="s">
        <v>43</v>
      </c>
      <c r="H113">
        <v>165000</v>
      </c>
      <c r="I113" t="s">
        <v>19</v>
      </c>
      <c r="J113">
        <v>165000</v>
      </c>
      <c r="K113" t="s">
        <v>29</v>
      </c>
      <c r="L113">
        <v>0</v>
      </c>
      <c r="M113" t="s">
        <v>29</v>
      </c>
      <c r="N113" t="s">
        <v>25</v>
      </c>
      <c r="O113" t="str">
        <f>VLOOKUP(SalaryInfo[[#This Row],[company_size]],CompanySize[],2,FALSE)</f>
        <v>Medium</v>
      </c>
    </row>
    <row r="114" spans="1:15">
      <c r="A114">
        <v>243</v>
      </c>
      <c r="B114">
        <v>2021</v>
      </c>
      <c r="C114" t="str">
        <f>VLOOKUP(SalaryInfo[[#This Row],[experience_level]],Experience[],2,FALSE)</f>
        <v>Senior</v>
      </c>
      <c r="D114" t="s">
        <v>17</v>
      </c>
      <c r="E114" t="str">
        <f>VLOOKUP(SalaryInfo[[#This Row],[employment_type]],EmpType[],2,FALSE)</f>
        <v>Full Time</v>
      </c>
      <c r="F114" t="s">
        <v>12</v>
      </c>
      <c r="G114" t="s">
        <v>13</v>
      </c>
      <c r="H114">
        <v>165000</v>
      </c>
      <c r="I114" t="s">
        <v>19</v>
      </c>
      <c r="J114">
        <v>165000</v>
      </c>
      <c r="K114" t="s">
        <v>29</v>
      </c>
      <c r="L114">
        <v>100</v>
      </c>
      <c r="M114" t="s">
        <v>29</v>
      </c>
      <c r="N114" t="s">
        <v>16</v>
      </c>
      <c r="O114" t="str">
        <f>VLOOKUP(SalaryInfo[[#This Row],[company_size]],CompanySize[],2,FALSE)</f>
        <v>Large</v>
      </c>
    </row>
    <row r="115" spans="1:15">
      <c r="A115">
        <v>497</v>
      </c>
      <c r="B115">
        <v>2022</v>
      </c>
      <c r="C115" t="str">
        <f>VLOOKUP(SalaryInfo[[#This Row],[experience_level]],Experience[],2,FALSE)</f>
        <v>Senior</v>
      </c>
      <c r="D115" t="s">
        <v>17</v>
      </c>
      <c r="E115" t="str">
        <f>VLOOKUP(SalaryInfo[[#This Row],[employment_type]],EmpType[],2,FALSE)</f>
        <v>Full Time</v>
      </c>
      <c r="F115" t="s">
        <v>12</v>
      </c>
      <c r="G115" t="s">
        <v>13</v>
      </c>
      <c r="H115">
        <v>165000</v>
      </c>
      <c r="I115" t="s">
        <v>19</v>
      </c>
      <c r="J115">
        <v>165000</v>
      </c>
      <c r="K115" t="s">
        <v>29</v>
      </c>
      <c r="L115">
        <v>100</v>
      </c>
      <c r="M115" t="s">
        <v>29</v>
      </c>
      <c r="N115" t="s">
        <v>25</v>
      </c>
      <c r="O115" t="str">
        <f>VLOOKUP(SalaryInfo[[#This Row],[company_size]],CompanySize[],2,FALSE)</f>
        <v>Medium</v>
      </c>
    </row>
    <row r="116" spans="1:15">
      <c r="A116">
        <v>372</v>
      </c>
      <c r="B116">
        <v>2022</v>
      </c>
      <c r="C116" t="str">
        <f>VLOOKUP(SalaryInfo[[#This Row],[experience_level]],Experience[],2,FALSE)</f>
        <v>Senior</v>
      </c>
      <c r="D116" t="s">
        <v>17</v>
      </c>
      <c r="E116" t="str">
        <f>VLOOKUP(SalaryInfo[[#This Row],[employment_type]],EmpType[],2,FALSE)</f>
        <v>Full Time</v>
      </c>
      <c r="F116" t="s">
        <v>12</v>
      </c>
      <c r="G116" t="s">
        <v>28</v>
      </c>
      <c r="H116">
        <v>164996</v>
      </c>
      <c r="I116" t="s">
        <v>19</v>
      </c>
      <c r="J116">
        <v>164996</v>
      </c>
      <c r="K116" t="s">
        <v>29</v>
      </c>
      <c r="L116">
        <v>0</v>
      </c>
      <c r="M116" t="s">
        <v>29</v>
      </c>
      <c r="N116" t="s">
        <v>25</v>
      </c>
      <c r="O116" t="str">
        <f>VLOOKUP(SalaryInfo[[#This Row],[company_size]],CompanySize[],2,FALSE)</f>
        <v>Medium</v>
      </c>
    </row>
    <row r="117" spans="1:15">
      <c r="A117">
        <v>439</v>
      </c>
      <c r="B117">
        <v>2022</v>
      </c>
      <c r="C117" t="str">
        <f>VLOOKUP(SalaryInfo[[#This Row],[experience_level]],Experience[],2,FALSE)</f>
        <v>Senior</v>
      </c>
      <c r="D117" t="s">
        <v>17</v>
      </c>
      <c r="E117" t="str">
        <f>VLOOKUP(SalaryInfo[[#This Row],[employment_type]],EmpType[],2,FALSE)</f>
        <v>Full Time</v>
      </c>
      <c r="F117" t="s">
        <v>12</v>
      </c>
      <c r="G117" t="s">
        <v>28</v>
      </c>
      <c r="H117">
        <v>164996</v>
      </c>
      <c r="I117" t="s">
        <v>19</v>
      </c>
      <c r="J117">
        <v>164996</v>
      </c>
      <c r="K117" t="s">
        <v>29</v>
      </c>
      <c r="L117">
        <v>0</v>
      </c>
      <c r="M117" t="s">
        <v>29</v>
      </c>
      <c r="N117" t="s">
        <v>25</v>
      </c>
      <c r="O117" t="str">
        <f>VLOOKUP(SalaryInfo[[#This Row],[company_size]],CompanySize[],2,FALSE)</f>
        <v>Medium</v>
      </c>
    </row>
    <row r="118" spans="1:15">
      <c r="A118">
        <v>387</v>
      </c>
      <c r="B118">
        <v>2022</v>
      </c>
      <c r="C118" t="str">
        <f>VLOOKUP(SalaryInfo[[#This Row],[experience_level]],Experience[],2,FALSE)</f>
        <v>Senior</v>
      </c>
      <c r="D118" t="s">
        <v>17</v>
      </c>
      <c r="E118" t="str">
        <f>VLOOKUP(SalaryInfo[[#This Row],[employment_type]],EmpType[],2,FALSE)</f>
        <v>Full Time</v>
      </c>
      <c r="F118" t="s">
        <v>12</v>
      </c>
      <c r="G118" t="s">
        <v>31</v>
      </c>
      <c r="H118">
        <v>164000</v>
      </c>
      <c r="I118" t="s">
        <v>19</v>
      </c>
      <c r="J118">
        <v>164000</v>
      </c>
      <c r="K118" t="s">
        <v>29</v>
      </c>
      <c r="L118">
        <v>0</v>
      </c>
      <c r="M118" t="s">
        <v>29</v>
      </c>
      <c r="N118" t="s">
        <v>25</v>
      </c>
      <c r="O118" t="str">
        <f>VLOOKUP(SalaryInfo[[#This Row],[company_size]],CompanySize[],2,FALSE)</f>
        <v>Medium</v>
      </c>
    </row>
    <row r="119" spans="1:15">
      <c r="A119">
        <v>464</v>
      </c>
      <c r="B119">
        <v>2022</v>
      </c>
      <c r="C119" t="str">
        <f>VLOOKUP(SalaryInfo[[#This Row],[experience_level]],Experience[],2,FALSE)</f>
        <v>Senior</v>
      </c>
      <c r="D119" t="s">
        <v>17</v>
      </c>
      <c r="E119" t="str">
        <f>VLOOKUP(SalaryInfo[[#This Row],[employment_type]],EmpType[],2,FALSE)</f>
        <v>Full Time</v>
      </c>
      <c r="F119" t="s">
        <v>12</v>
      </c>
      <c r="G119" t="s">
        <v>76</v>
      </c>
      <c r="H119">
        <v>148000</v>
      </c>
      <c r="I119" t="s">
        <v>14</v>
      </c>
      <c r="J119">
        <v>162674</v>
      </c>
      <c r="K119" t="s">
        <v>15</v>
      </c>
      <c r="L119">
        <v>100</v>
      </c>
      <c r="M119" t="s">
        <v>15</v>
      </c>
      <c r="N119" t="s">
        <v>25</v>
      </c>
      <c r="O119" t="str">
        <f>VLOOKUP(SalaryInfo[[#This Row],[company_size]],CompanySize[],2,FALSE)</f>
        <v>Medium</v>
      </c>
    </row>
    <row r="120" spans="1:15">
      <c r="A120">
        <v>350</v>
      </c>
      <c r="B120">
        <v>2022</v>
      </c>
      <c r="C120" t="str">
        <f>VLOOKUP(SalaryInfo[[#This Row],[experience_level]],Experience[],2,FALSE)</f>
        <v>Senior</v>
      </c>
      <c r="D120" t="s">
        <v>17</v>
      </c>
      <c r="E120" t="str">
        <f>VLOOKUP(SalaryInfo[[#This Row],[employment_type]],EmpType[],2,FALSE)</f>
        <v>Full Time</v>
      </c>
      <c r="F120" t="s">
        <v>12</v>
      </c>
      <c r="G120" t="s">
        <v>79</v>
      </c>
      <c r="H120">
        <v>161342</v>
      </c>
      <c r="I120" t="s">
        <v>19</v>
      </c>
      <c r="J120">
        <v>161342</v>
      </c>
      <c r="K120" t="s">
        <v>29</v>
      </c>
      <c r="L120">
        <v>100</v>
      </c>
      <c r="M120" t="s">
        <v>29</v>
      </c>
      <c r="N120" t="s">
        <v>25</v>
      </c>
      <c r="O120" t="str">
        <f>VLOOKUP(SalaryInfo[[#This Row],[company_size]],CompanySize[],2,FALSE)</f>
        <v>Medium</v>
      </c>
    </row>
    <row r="121" spans="1:15">
      <c r="A121">
        <v>322</v>
      </c>
      <c r="B121">
        <v>2022</v>
      </c>
      <c r="C121" t="str">
        <f>VLOOKUP(SalaryInfo[[#This Row],[experience_level]],Experience[],2,FALSE)</f>
        <v>Senior</v>
      </c>
      <c r="D121" t="s">
        <v>17</v>
      </c>
      <c r="E121" t="str">
        <f>VLOOKUP(SalaryInfo[[#This Row],[employment_type]],EmpType[],2,FALSE)</f>
        <v>Full Time</v>
      </c>
      <c r="F121" t="s">
        <v>12</v>
      </c>
      <c r="G121" t="s">
        <v>43</v>
      </c>
      <c r="H121">
        <v>160080</v>
      </c>
      <c r="I121" t="s">
        <v>19</v>
      </c>
      <c r="J121">
        <v>160080</v>
      </c>
      <c r="K121" t="s">
        <v>29</v>
      </c>
      <c r="L121">
        <v>0</v>
      </c>
      <c r="M121" t="s">
        <v>29</v>
      </c>
      <c r="N121" t="s">
        <v>25</v>
      </c>
      <c r="O121" t="str">
        <f>VLOOKUP(SalaryInfo[[#This Row],[company_size]],CompanySize[],2,FALSE)</f>
        <v>Medium</v>
      </c>
    </row>
    <row r="122" spans="1:15">
      <c r="A122">
        <v>583</v>
      </c>
      <c r="B122">
        <v>2022</v>
      </c>
      <c r="C122" t="str">
        <f>VLOOKUP(SalaryInfo[[#This Row],[experience_level]],Experience[],2,FALSE)</f>
        <v>Senior</v>
      </c>
      <c r="D122" t="s">
        <v>17</v>
      </c>
      <c r="E122" t="str">
        <f>VLOOKUP(SalaryInfo[[#This Row],[employment_type]],EmpType[],2,FALSE)</f>
        <v>Full Time</v>
      </c>
      <c r="F122" t="s">
        <v>12</v>
      </c>
      <c r="G122" t="s">
        <v>43</v>
      </c>
      <c r="H122">
        <v>160080</v>
      </c>
      <c r="I122" t="s">
        <v>19</v>
      </c>
      <c r="J122">
        <v>160080</v>
      </c>
      <c r="K122" t="s">
        <v>29</v>
      </c>
      <c r="L122">
        <v>100</v>
      </c>
      <c r="M122" t="s">
        <v>29</v>
      </c>
      <c r="N122" t="s">
        <v>25</v>
      </c>
      <c r="O122" t="str">
        <f>VLOOKUP(SalaryInfo[[#This Row],[company_size]],CompanySize[],2,FALSE)</f>
        <v>Medium</v>
      </c>
    </row>
    <row r="123" spans="1:15">
      <c r="A123">
        <v>149</v>
      </c>
      <c r="B123">
        <v>2021</v>
      </c>
      <c r="C123" t="str">
        <f>VLOOKUP(SalaryInfo[[#This Row],[experience_level]],Experience[],2,FALSE)</f>
        <v>Senior</v>
      </c>
      <c r="D123" t="s">
        <v>17</v>
      </c>
      <c r="E123" t="str">
        <f>VLOOKUP(SalaryInfo[[#This Row],[employment_type]],EmpType[],2,FALSE)</f>
        <v>Full Time</v>
      </c>
      <c r="F123" t="s">
        <v>12</v>
      </c>
      <c r="G123" t="s">
        <v>88</v>
      </c>
      <c r="H123">
        <v>160000</v>
      </c>
      <c r="I123" t="s">
        <v>19</v>
      </c>
      <c r="J123">
        <v>160000</v>
      </c>
      <c r="K123" t="s">
        <v>91</v>
      </c>
      <c r="L123">
        <v>100</v>
      </c>
      <c r="M123" t="s">
        <v>29</v>
      </c>
      <c r="N123" t="s">
        <v>21</v>
      </c>
      <c r="O123" t="str">
        <f>VLOOKUP(SalaryInfo[[#This Row],[company_size]],CompanySize[],2,FALSE)</f>
        <v>Small</v>
      </c>
    </row>
    <row r="124" spans="1:15">
      <c r="A124">
        <v>265</v>
      </c>
      <c r="B124">
        <v>2021</v>
      </c>
      <c r="C124" t="str">
        <f>VLOOKUP(SalaryInfo[[#This Row],[experience_level]],Experience[],2,FALSE)</f>
        <v>Senior</v>
      </c>
      <c r="D124" t="s">
        <v>17</v>
      </c>
      <c r="E124" t="str">
        <f>VLOOKUP(SalaryInfo[[#This Row],[employment_type]],EmpType[],2,FALSE)</f>
        <v>Full Time</v>
      </c>
      <c r="F124" t="s">
        <v>12</v>
      </c>
      <c r="G124" t="s">
        <v>36</v>
      </c>
      <c r="H124">
        <v>160000</v>
      </c>
      <c r="I124" t="s">
        <v>19</v>
      </c>
      <c r="J124">
        <v>160000</v>
      </c>
      <c r="K124" t="s">
        <v>127</v>
      </c>
      <c r="L124">
        <v>50</v>
      </c>
      <c r="M124" t="s">
        <v>29</v>
      </c>
      <c r="N124" t="s">
        <v>21</v>
      </c>
      <c r="O124" t="str">
        <f>VLOOKUP(SalaryInfo[[#This Row],[company_size]],CompanySize[],2,FALSE)</f>
        <v>Small</v>
      </c>
    </row>
    <row r="125" spans="1:15">
      <c r="A125">
        <v>364</v>
      </c>
      <c r="B125">
        <v>2022</v>
      </c>
      <c r="C125" t="str">
        <f>VLOOKUP(SalaryInfo[[#This Row],[experience_level]],Experience[],2,FALSE)</f>
        <v>Senior</v>
      </c>
      <c r="D125" t="s">
        <v>17</v>
      </c>
      <c r="E125" t="str">
        <f>VLOOKUP(SalaryInfo[[#This Row],[employment_type]],EmpType[],2,FALSE)</f>
        <v>Full Time</v>
      </c>
      <c r="F125" t="s">
        <v>12</v>
      </c>
      <c r="G125" t="s">
        <v>43</v>
      </c>
      <c r="H125">
        <v>160000</v>
      </c>
      <c r="I125" t="s">
        <v>19</v>
      </c>
      <c r="J125">
        <v>160000</v>
      </c>
      <c r="K125" t="s">
        <v>29</v>
      </c>
      <c r="L125">
        <v>0</v>
      </c>
      <c r="M125" t="s">
        <v>29</v>
      </c>
      <c r="N125" t="s">
        <v>16</v>
      </c>
      <c r="O125" t="str">
        <f>VLOOKUP(SalaryInfo[[#This Row],[company_size]],CompanySize[],2,FALSE)</f>
        <v>Large</v>
      </c>
    </row>
    <row r="126" spans="1:15">
      <c r="A126">
        <v>204</v>
      </c>
      <c r="B126">
        <v>2021</v>
      </c>
      <c r="C126" t="str">
        <f>VLOOKUP(SalaryInfo[[#This Row],[experience_level]],Experience[],2,FALSE)</f>
        <v>Intermediate</v>
      </c>
      <c r="D126" t="s">
        <v>11</v>
      </c>
      <c r="E126" t="str">
        <f>VLOOKUP(SalaryInfo[[#This Row],[employment_type]],EmpType[],2,FALSE)</f>
        <v>Full Time</v>
      </c>
      <c r="F126" t="s">
        <v>12</v>
      </c>
      <c r="G126" t="s">
        <v>13</v>
      </c>
      <c r="H126">
        <v>160000</v>
      </c>
      <c r="I126" t="s">
        <v>19</v>
      </c>
      <c r="J126">
        <v>160000</v>
      </c>
      <c r="K126" t="s">
        <v>29</v>
      </c>
      <c r="L126">
        <v>100</v>
      </c>
      <c r="M126" t="s">
        <v>29</v>
      </c>
      <c r="N126" t="s">
        <v>16</v>
      </c>
      <c r="O126" t="str">
        <f>VLOOKUP(SalaryInfo[[#This Row],[company_size]],CompanySize[],2,FALSE)</f>
        <v>Large</v>
      </c>
    </row>
    <row r="127" spans="1:15">
      <c r="A127">
        <v>419</v>
      </c>
      <c r="B127">
        <v>2022</v>
      </c>
      <c r="C127" t="str">
        <f>VLOOKUP(SalaryInfo[[#This Row],[experience_level]],Experience[],2,FALSE)</f>
        <v>Intermediate</v>
      </c>
      <c r="D127" t="s">
        <v>11</v>
      </c>
      <c r="E127" t="str">
        <f>VLOOKUP(SalaryInfo[[#This Row],[employment_type]],EmpType[],2,FALSE)</f>
        <v>Full Time</v>
      </c>
      <c r="F127" t="s">
        <v>12</v>
      </c>
      <c r="G127" t="s">
        <v>18</v>
      </c>
      <c r="H127">
        <v>160000</v>
      </c>
      <c r="I127" t="s">
        <v>19</v>
      </c>
      <c r="J127">
        <v>160000</v>
      </c>
      <c r="K127" t="s">
        <v>29</v>
      </c>
      <c r="L127">
        <v>100</v>
      </c>
      <c r="M127" t="s">
        <v>29</v>
      </c>
      <c r="N127" t="s">
        <v>16</v>
      </c>
      <c r="O127" t="str">
        <f>VLOOKUP(SalaryInfo[[#This Row],[company_size]],CompanySize[],2,FALSE)</f>
        <v>Large</v>
      </c>
    </row>
    <row r="128" spans="1:15">
      <c r="A128">
        <v>598</v>
      </c>
      <c r="B128">
        <v>2022</v>
      </c>
      <c r="C128" t="str">
        <f>VLOOKUP(SalaryInfo[[#This Row],[experience_level]],Experience[],2,FALSE)</f>
        <v>Intermediate</v>
      </c>
      <c r="D128" t="s">
        <v>11</v>
      </c>
      <c r="E128" t="str">
        <f>VLOOKUP(SalaryInfo[[#This Row],[employment_type]],EmpType[],2,FALSE)</f>
        <v>Full Time</v>
      </c>
      <c r="F128" t="s">
        <v>12</v>
      </c>
      <c r="G128" t="s">
        <v>13</v>
      </c>
      <c r="H128">
        <v>160000</v>
      </c>
      <c r="I128" t="s">
        <v>19</v>
      </c>
      <c r="J128">
        <v>160000</v>
      </c>
      <c r="K128" t="s">
        <v>29</v>
      </c>
      <c r="L128">
        <v>100</v>
      </c>
      <c r="M128" t="s">
        <v>29</v>
      </c>
      <c r="N128" t="s">
        <v>25</v>
      </c>
      <c r="O128" t="str">
        <f>VLOOKUP(SalaryInfo[[#This Row],[company_size]],CompanySize[],2,FALSE)</f>
        <v>Medium</v>
      </c>
    </row>
    <row r="129" spans="1:15">
      <c r="A129">
        <v>549</v>
      </c>
      <c r="B129">
        <v>2022</v>
      </c>
      <c r="C129" t="str">
        <f>VLOOKUP(SalaryInfo[[#This Row],[experience_level]],Experience[],2,FALSE)</f>
        <v>Senior</v>
      </c>
      <c r="D129" t="s">
        <v>17</v>
      </c>
      <c r="E129" t="str">
        <f>VLOOKUP(SalaryInfo[[#This Row],[employment_type]],EmpType[],2,FALSE)</f>
        <v>Full Time</v>
      </c>
      <c r="F129" t="s">
        <v>12</v>
      </c>
      <c r="G129" t="s">
        <v>43</v>
      </c>
      <c r="H129">
        <v>160000</v>
      </c>
      <c r="I129" t="s">
        <v>19</v>
      </c>
      <c r="J129">
        <v>160000</v>
      </c>
      <c r="K129" t="s">
        <v>29</v>
      </c>
      <c r="L129">
        <v>100</v>
      </c>
      <c r="M129" t="s">
        <v>29</v>
      </c>
      <c r="N129" t="s">
        <v>25</v>
      </c>
      <c r="O129" t="str">
        <f>VLOOKUP(SalaryInfo[[#This Row],[company_size]],CompanySize[],2,FALSE)</f>
        <v>Medium</v>
      </c>
    </row>
    <row r="130" spans="1:15">
      <c r="A130">
        <v>555</v>
      </c>
      <c r="B130">
        <v>2022</v>
      </c>
      <c r="C130" t="str">
        <f>VLOOKUP(SalaryInfo[[#This Row],[experience_level]],Experience[],2,FALSE)</f>
        <v>Senior</v>
      </c>
      <c r="D130" t="s">
        <v>17</v>
      </c>
      <c r="E130" t="str">
        <f>VLOOKUP(SalaryInfo[[#This Row],[employment_type]],EmpType[],2,FALSE)</f>
        <v>Full Time</v>
      </c>
      <c r="F130" t="s">
        <v>12</v>
      </c>
      <c r="G130" t="s">
        <v>43</v>
      </c>
      <c r="H130">
        <v>160000</v>
      </c>
      <c r="I130" t="s">
        <v>19</v>
      </c>
      <c r="J130">
        <v>160000</v>
      </c>
      <c r="K130" t="s">
        <v>29</v>
      </c>
      <c r="L130">
        <v>100</v>
      </c>
      <c r="M130" t="s">
        <v>29</v>
      </c>
      <c r="N130" t="s">
        <v>25</v>
      </c>
      <c r="O130" t="str">
        <f>VLOOKUP(SalaryInfo[[#This Row],[company_size]],CompanySize[],2,FALSE)</f>
        <v>Medium</v>
      </c>
    </row>
    <row r="131" spans="1:15">
      <c r="A131">
        <v>422</v>
      </c>
      <c r="B131">
        <v>2022</v>
      </c>
      <c r="C131" t="str">
        <f>VLOOKUP(SalaryInfo[[#This Row],[experience_level]],Experience[],2,FALSE)</f>
        <v>Intermediate</v>
      </c>
      <c r="D131" t="s">
        <v>11</v>
      </c>
      <c r="E131" t="str">
        <f>VLOOKUP(SalaryInfo[[#This Row],[employment_type]],EmpType[],2,FALSE)</f>
        <v>Full Time</v>
      </c>
      <c r="F131" t="s">
        <v>12</v>
      </c>
      <c r="G131" t="s">
        <v>79</v>
      </c>
      <c r="H131">
        <v>159000</v>
      </c>
      <c r="I131" t="s">
        <v>19</v>
      </c>
      <c r="J131">
        <v>159000</v>
      </c>
      <c r="K131" t="s">
        <v>29</v>
      </c>
      <c r="L131">
        <v>100</v>
      </c>
      <c r="M131" t="s">
        <v>29</v>
      </c>
      <c r="N131" t="s">
        <v>25</v>
      </c>
      <c r="O131" t="str">
        <f>VLOOKUP(SalaryInfo[[#This Row],[company_size]],CompanySize[],2,FALSE)</f>
        <v>Medium</v>
      </c>
    </row>
    <row r="132" spans="1:15">
      <c r="A132">
        <v>399</v>
      </c>
      <c r="B132">
        <v>2022</v>
      </c>
      <c r="C132" t="str">
        <f>VLOOKUP(SalaryInfo[[#This Row],[experience_level]],Experience[],2,FALSE)</f>
        <v>Senior</v>
      </c>
      <c r="D132" t="s">
        <v>17</v>
      </c>
      <c r="E132" t="str">
        <f>VLOOKUP(SalaryInfo[[#This Row],[employment_type]],EmpType[],2,FALSE)</f>
        <v>Full Time</v>
      </c>
      <c r="F132" t="s">
        <v>12</v>
      </c>
      <c r="G132" t="s">
        <v>13</v>
      </c>
      <c r="H132">
        <v>158200</v>
      </c>
      <c r="I132" t="s">
        <v>19</v>
      </c>
      <c r="J132">
        <v>158200</v>
      </c>
      <c r="K132" t="s">
        <v>29</v>
      </c>
      <c r="L132">
        <v>100</v>
      </c>
      <c r="M132" t="s">
        <v>29</v>
      </c>
      <c r="N132" t="s">
        <v>16</v>
      </c>
      <c r="O132" t="str">
        <f>VLOOKUP(SalaryInfo[[#This Row],[company_size]],CompanySize[],2,FALSE)</f>
        <v>Large</v>
      </c>
    </row>
    <row r="133" spans="1:15">
      <c r="A133">
        <v>509</v>
      </c>
      <c r="B133">
        <v>2022</v>
      </c>
      <c r="C133" t="str">
        <f>VLOOKUP(SalaryInfo[[#This Row],[experience_level]],Experience[],2,FALSE)</f>
        <v>Intermediate</v>
      </c>
      <c r="D133" t="s">
        <v>11</v>
      </c>
      <c r="E133" t="str">
        <f>VLOOKUP(SalaryInfo[[#This Row],[employment_type]],EmpType[],2,FALSE)</f>
        <v>Full Time</v>
      </c>
      <c r="F133" t="s">
        <v>12</v>
      </c>
      <c r="G133" t="s">
        <v>84</v>
      </c>
      <c r="H133">
        <v>157000</v>
      </c>
      <c r="I133" t="s">
        <v>19</v>
      </c>
      <c r="J133">
        <v>157000</v>
      </c>
      <c r="K133" t="s">
        <v>29</v>
      </c>
      <c r="L133">
        <v>100</v>
      </c>
      <c r="M133" t="s">
        <v>29</v>
      </c>
      <c r="N133" t="s">
        <v>16</v>
      </c>
      <c r="O133" t="str">
        <f>VLOOKUP(SalaryInfo[[#This Row],[company_size]],CompanySize[],2,FALSE)</f>
        <v>Large</v>
      </c>
    </row>
    <row r="134" spans="1:15">
      <c r="A134">
        <v>345</v>
      </c>
      <c r="B134">
        <v>2022</v>
      </c>
      <c r="C134" t="str">
        <f>VLOOKUP(SalaryInfo[[#This Row],[experience_level]],Experience[],2,FALSE)</f>
        <v>Senior</v>
      </c>
      <c r="D134" t="s">
        <v>17</v>
      </c>
      <c r="E134" t="str">
        <f>VLOOKUP(SalaryInfo[[#This Row],[employment_type]],EmpType[],2,FALSE)</f>
        <v>Full Time</v>
      </c>
      <c r="F134" t="s">
        <v>12</v>
      </c>
      <c r="G134" t="s">
        <v>43</v>
      </c>
      <c r="H134">
        <v>156600</v>
      </c>
      <c r="I134" t="s">
        <v>19</v>
      </c>
      <c r="J134">
        <v>156600</v>
      </c>
      <c r="K134" t="s">
        <v>29</v>
      </c>
      <c r="L134">
        <v>100</v>
      </c>
      <c r="M134" t="s">
        <v>29</v>
      </c>
      <c r="N134" t="s">
        <v>25</v>
      </c>
      <c r="O134" t="str">
        <f>VLOOKUP(SalaryInfo[[#This Row],[company_size]],CompanySize[],2,FALSE)</f>
        <v>Medium</v>
      </c>
    </row>
    <row r="135" spans="1:15">
      <c r="A135">
        <v>290</v>
      </c>
      <c r="B135">
        <v>2022</v>
      </c>
      <c r="C135" t="str">
        <f>VLOOKUP(SalaryInfo[[#This Row],[experience_level]],Experience[],2,FALSE)</f>
        <v>Senior</v>
      </c>
      <c r="D135" t="s">
        <v>17</v>
      </c>
      <c r="E135" t="str">
        <f>VLOOKUP(SalaryInfo[[#This Row],[employment_type]],EmpType[],2,FALSE)</f>
        <v>Full Time</v>
      </c>
      <c r="F135" t="s">
        <v>12</v>
      </c>
      <c r="G135" t="s">
        <v>31</v>
      </c>
      <c r="H135">
        <v>155000</v>
      </c>
      <c r="I135" t="s">
        <v>19</v>
      </c>
      <c r="J135">
        <v>155000</v>
      </c>
      <c r="K135" t="s">
        <v>29</v>
      </c>
      <c r="L135">
        <v>100</v>
      </c>
      <c r="M135" t="s">
        <v>29</v>
      </c>
      <c r="N135" t="s">
        <v>25</v>
      </c>
      <c r="O135" t="str">
        <f>VLOOKUP(SalaryInfo[[#This Row],[company_size]],CompanySize[],2,FALSE)</f>
        <v>Medium</v>
      </c>
    </row>
    <row r="136" spans="1:15">
      <c r="A136">
        <v>388</v>
      </c>
      <c r="B136">
        <v>2022</v>
      </c>
      <c r="C136" t="str">
        <f>VLOOKUP(SalaryInfo[[#This Row],[experience_level]],Experience[],2,FALSE)</f>
        <v>Senior</v>
      </c>
      <c r="D136" t="s">
        <v>17</v>
      </c>
      <c r="E136" t="str">
        <f>VLOOKUP(SalaryInfo[[#This Row],[employment_type]],EmpType[],2,FALSE)</f>
        <v>Full Time</v>
      </c>
      <c r="F136" t="s">
        <v>12</v>
      </c>
      <c r="G136" t="s">
        <v>43</v>
      </c>
      <c r="H136">
        <v>155000</v>
      </c>
      <c r="I136" t="s">
        <v>19</v>
      </c>
      <c r="J136">
        <v>155000</v>
      </c>
      <c r="K136" t="s">
        <v>29</v>
      </c>
      <c r="L136">
        <v>100</v>
      </c>
      <c r="M136" t="s">
        <v>29</v>
      </c>
      <c r="N136" t="s">
        <v>25</v>
      </c>
      <c r="O136" t="str">
        <f>VLOOKUP(SalaryInfo[[#This Row],[company_size]],CompanySize[],2,FALSE)</f>
        <v>Medium</v>
      </c>
    </row>
    <row r="137" spans="1:15">
      <c r="A137">
        <v>537</v>
      </c>
      <c r="B137">
        <v>2022</v>
      </c>
      <c r="C137" t="str">
        <f>VLOOKUP(SalaryInfo[[#This Row],[experience_level]],Experience[],2,FALSE)</f>
        <v>Senior</v>
      </c>
      <c r="D137" t="s">
        <v>17</v>
      </c>
      <c r="E137" t="str">
        <f>VLOOKUP(SalaryInfo[[#This Row],[employment_type]],EmpType[],2,FALSE)</f>
        <v>Full Time</v>
      </c>
      <c r="F137" t="s">
        <v>12</v>
      </c>
      <c r="G137" t="s">
        <v>43</v>
      </c>
      <c r="H137">
        <v>155000</v>
      </c>
      <c r="I137" t="s">
        <v>19</v>
      </c>
      <c r="J137">
        <v>155000</v>
      </c>
      <c r="K137" t="s">
        <v>29</v>
      </c>
      <c r="L137">
        <v>100</v>
      </c>
      <c r="M137" t="s">
        <v>29</v>
      </c>
      <c r="N137" t="s">
        <v>25</v>
      </c>
      <c r="O137" t="str">
        <f>VLOOKUP(SalaryInfo[[#This Row],[company_size]],CompanySize[],2,FALSE)</f>
        <v>Medium</v>
      </c>
    </row>
    <row r="138" spans="1:15">
      <c r="A138">
        <v>401</v>
      </c>
      <c r="B138">
        <v>2022</v>
      </c>
      <c r="C138" t="str">
        <f>VLOOKUP(SalaryInfo[[#This Row],[experience_level]],Experience[],2,FALSE)</f>
        <v>Senior</v>
      </c>
      <c r="D138" t="s">
        <v>17</v>
      </c>
      <c r="E138" t="str">
        <f>VLOOKUP(SalaryInfo[[#This Row],[employment_type]],EmpType[],2,FALSE)</f>
        <v>Full Time</v>
      </c>
      <c r="F138" t="s">
        <v>12</v>
      </c>
      <c r="G138" t="s">
        <v>43</v>
      </c>
      <c r="H138">
        <v>154600</v>
      </c>
      <c r="I138" t="s">
        <v>19</v>
      </c>
      <c r="J138">
        <v>154600</v>
      </c>
      <c r="K138" t="s">
        <v>29</v>
      </c>
      <c r="L138">
        <v>100</v>
      </c>
      <c r="M138" t="s">
        <v>29</v>
      </c>
      <c r="N138" t="s">
        <v>16</v>
      </c>
      <c r="O138" t="str">
        <f>VLOOKUP(SalaryInfo[[#This Row],[company_size]],CompanySize[],2,FALSE)</f>
        <v>Large</v>
      </c>
    </row>
    <row r="139" spans="1:15">
      <c r="A139">
        <v>447</v>
      </c>
      <c r="B139">
        <v>2022</v>
      </c>
      <c r="C139" t="str">
        <f>VLOOKUP(SalaryInfo[[#This Row],[experience_level]],Experience[],2,FALSE)</f>
        <v>Senior</v>
      </c>
      <c r="D139" t="s">
        <v>17</v>
      </c>
      <c r="E139" t="str">
        <f>VLOOKUP(SalaryInfo[[#This Row],[employment_type]],EmpType[],2,FALSE)</f>
        <v>Full Time</v>
      </c>
      <c r="F139" t="s">
        <v>12</v>
      </c>
      <c r="G139" t="s">
        <v>43</v>
      </c>
      <c r="H139">
        <v>154600</v>
      </c>
      <c r="I139" t="s">
        <v>19</v>
      </c>
      <c r="J139">
        <v>154600</v>
      </c>
      <c r="K139" t="s">
        <v>29</v>
      </c>
      <c r="L139">
        <v>100</v>
      </c>
      <c r="M139" t="s">
        <v>29</v>
      </c>
      <c r="N139" t="s">
        <v>16</v>
      </c>
      <c r="O139" t="str">
        <f>VLOOKUP(SalaryInfo[[#This Row],[company_size]],CompanySize[],2,FALSE)</f>
        <v>Large</v>
      </c>
    </row>
    <row r="140" spans="1:15">
      <c r="A140">
        <v>602</v>
      </c>
      <c r="B140">
        <v>2022</v>
      </c>
      <c r="C140" t="str">
        <f>VLOOKUP(SalaryInfo[[#This Row],[experience_level]],Experience[],2,FALSE)</f>
        <v>Senior</v>
      </c>
      <c r="D140" t="s">
        <v>17</v>
      </c>
      <c r="E140" t="str">
        <f>VLOOKUP(SalaryInfo[[#This Row],[employment_type]],EmpType[],2,FALSE)</f>
        <v>Full Time</v>
      </c>
      <c r="F140" t="s">
        <v>12</v>
      </c>
      <c r="G140" t="s">
        <v>43</v>
      </c>
      <c r="H140">
        <v>154000</v>
      </c>
      <c r="I140" t="s">
        <v>19</v>
      </c>
      <c r="J140">
        <v>154000</v>
      </c>
      <c r="K140" t="s">
        <v>29</v>
      </c>
      <c r="L140">
        <v>100</v>
      </c>
      <c r="M140" t="s">
        <v>29</v>
      </c>
      <c r="N140" t="s">
        <v>25</v>
      </c>
      <c r="O140" t="str">
        <f>VLOOKUP(SalaryInfo[[#This Row],[company_size]],CompanySize[],2,FALSE)</f>
        <v>Medium</v>
      </c>
    </row>
    <row r="141" spans="1:15">
      <c r="A141">
        <v>84</v>
      </c>
      <c r="B141">
        <v>2021</v>
      </c>
      <c r="C141" t="str">
        <f>VLOOKUP(SalaryInfo[[#This Row],[experience_level]],Experience[],2,FALSE)</f>
        <v>Director</v>
      </c>
      <c r="D141" t="s">
        <v>53</v>
      </c>
      <c r="E141" t="str">
        <f>VLOOKUP(SalaryInfo[[#This Row],[employment_type]],EmpType[],2,FALSE)</f>
        <v>Full Time</v>
      </c>
      <c r="F141" t="s">
        <v>12</v>
      </c>
      <c r="G141" t="s">
        <v>54</v>
      </c>
      <c r="H141">
        <v>130000</v>
      </c>
      <c r="I141" t="s">
        <v>14</v>
      </c>
      <c r="J141">
        <v>153667</v>
      </c>
      <c r="K141" t="s">
        <v>77</v>
      </c>
      <c r="L141">
        <v>100</v>
      </c>
      <c r="M141" t="s">
        <v>45</v>
      </c>
      <c r="N141" t="s">
        <v>16</v>
      </c>
      <c r="O141" t="str">
        <f>VLOOKUP(SalaryInfo[[#This Row],[company_size]],CompanySize[],2,FALSE)</f>
        <v>Large</v>
      </c>
    </row>
    <row r="142" spans="1:15">
      <c r="A142">
        <v>148</v>
      </c>
      <c r="B142">
        <v>2021</v>
      </c>
      <c r="C142" t="str">
        <f>VLOOKUP(SalaryInfo[[#This Row],[experience_level]],Experience[],2,FALSE)</f>
        <v>Senior</v>
      </c>
      <c r="D142" t="s">
        <v>17</v>
      </c>
      <c r="E142" t="str">
        <f>VLOOKUP(SalaryInfo[[#This Row],[employment_type]],EmpType[],2,FALSE)</f>
        <v>Full Time</v>
      </c>
      <c r="F142" t="s">
        <v>12</v>
      </c>
      <c r="G142" t="s">
        <v>63</v>
      </c>
      <c r="H142">
        <v>153000</v>
      </c>
      <c r="I142" t="s">
        <v>19</v>
      </c>
      <c r="J142">
        <v>153000</v>
      </c>
      <c r="K142" t="s">
        <v>29</v>
      </c>
      <c r="L142">
        <v>100</v>
      </c>
      <c r="M142" t="s">
        <v>29</v>
      </c>
      <c r="N142" t="s">
        <v>16</v>
      </c>
      <c r="O142" t="str">
        <f>VLOOKUP(SalaryInfo[[#This Row],[company_size]],CompanySize[],2,FALSE)</f>
        <v>Large</v>
      </c>
    </row>
    <row r="143" spans="1:15">
      <c r="A143">
        <v>495</v>
      </c>
      <c r="B143">
        <v>2022</v>
      </c>
      <c r="C143" t="str">
        <f>VLOOKUP(SalaryInfo[[#This Row],[experience_level]],Experience[],2,FALSE)</f>
        <v>Intermediate</v>
      </c>
      <c r="D143" t="s">
        <v>11</v>
      </c>
      <c r="E143" t="str">
        <f>VLOOKUP(SalaryInfo[[#This Row],[employment_type]],EmpType[],2,FALSE)</f>
        <v>Full Time</v>
      </c>
      <c r="F143" t="s">
        <v>12</v>
      </c>
      <c r="G143" t="s">
        <v>18</v>
      </c>
      <c r="H143">
        <v>153000</v>
      </c>
      <c r="I143" t="s">
        <v>19</v>
      </c>
      <c r="J143">
        <v>153000</v>
      </c>
      <c r="K143" t="s">
        <v>29</v>
      </c>
      <c r="L143">
        <v>50</v>
      </c>
      <c r="M143" t="s">
        <v>29</v>
      </c>
      <c r="N143" t="s">
        <v>25</v>
      </c>
      <c r="O143" t="str">
        <f>VLOOKUP(SalaryInfo[[#This Row],[company_size]],CompanySize[],2,FALSE)</f>
        <v>Medium</v>
      </c>
    </row>
    <row r="144" spans="1:15">
      <c r="A144">
        <v>516</v>
      </c>
      <c r="B144">
        <v>2022</v>
      </c>
      <c r="C144" t="str">
        <f>VLOOKUP(SalaryInfo[[#This Row],[experience_level]],Experience[],2,FALSE)</f>
        <v>Senior</v>
      </c>
      <c r="D144" t="s">
        <v>17</v>
      </c>
      <c r="E144" t="str">
        <f>VLOOKUP(SalaryInfo[[#This Row],[employment_type]],EmpType[],2,FALSE)</f>
        <v>Full Time</v>
      </c>
      <c r="F144" t="s">
        <v>12</v>
      </c>
      <c r="G144" t="s">
        <v>79</v>
      </c>
      <c r="H144">
        <v>152500</v>
      </c>
      <c r="I144" t="s">
        <v>19</v>
      </c>
      <c r="J144">
        <v>152500</v>
      </c>
      <c r="K144" t="s">
        <v>29</v>
      </c>
      <c r="L144">
        <v>100</v>
      </c>
      <c r="M144" t="s">
        <v>29</v>
      </c>
      <c r="N144" t="s">
        <v>25</v>
      </c>
      <c r="O144" t="str">
        <f>VLOOKUP(SalaryInfo[[#This Row],[company_size]],CompanySize[],2,FALSE)</f>
        <v>Medium</v>
      </c>
    </row>
    <row r="145" spans="1:15">
      <c r="A145">
        <v>190</v>
      </c>
      <c r="B145">
        <v>2021</v>
      </c>
      <c r="C145" t="str">
        <f>VLOOKUP(SalaryInfo[[#This Row],[experience_level]],Experience[],2,FALSE)</f>
        <v>Senior</v>
      </c>
      <c r="D145" t="s">
        <v>17</v>
      </c>
      <c r="E145" t="str">
        <f>VLOOKUP(SalaryInfo[[#This Row],[employment_type]],EmpType[],2,FALSE)</f>
        <v>Full Time</v>
      </c>
      <c r="F145" t="s">
        <v>12</v>
      </c>
      <c r="G145" t="s">
        <v>79</v>
      </c>
      <c r="H145">
        <v>152000</v>
      </c>
      <c r="I145" t="s">
        <v>19</v>
      </c>
      <c r="J145">
        <v>152000</v>
      </c>
      <c r="K145" t="s">
        <v>29</v>
      </c>
      <c r="L145">
        <v>100</v>
      </c>
      <c r="M145" t="s">
        <v>38</v>
      </c>
      <c r="N145" t="s">
        <v>16</v>
      </c>
      <c r="O145" t="str">
        <f>VLOOKUP(SalaryInfo[[#This Row],[company_size]],CompanySize[],2,FALSE)</f>
        <v>Large</v>
      </c>
    </row>
    <row r="146" spans="1:15">
      <c r="A146">
        <v>125</v>
      </c>
      <c r="B146">
        <v>2021</v>
      </c>
      <c r="C146" t="str">
        <f>VLOOKUP(SalaryInfo[[#This Row],[experience_level]],Experience[],2,FALSE)</f>
        <v>Intermediate</v>
      </c>
      <c r="D146" t="s">
        <v>11</v>
      </c>
      <c r="E146" t="str">
        <f>VLOOKUP(SalaryInfo[[#This Row],[employment_type]],EmpType[],2,FALSE)</f>
        <v>Full Time</v>
      </c>
      <c r="F146" t="s">
        <v>12</v>
      </c>
      <c r="G146" t="s">
        <v>76</v>
      </c>
      <c r="H146">
        <v>151000</v>
      </c>
      <c r="I146" t="s">
        <v>19</v>
      </c>
      <c r="J146">
        <v>151000</v>
      </c>
      <c r="K146" t="s">
        <v>29</v>
      </c>
      <c r="L146">
        <v>100</v>
      </c>
      <c r="M146" t="s">
        <v>29</v>
      </c>
      <c r="N146" t="s">
        <v>16</v>
      </c>
      <c r="O146" t="str">
        <f>VLOOKUP(SalaryInfo[[#This Row],[company_size]],CompanySize[],2,FALSE)</f>
        <v>Large</v>
      </c>
    </row>
    <row r="147" spans="1:15">
      <c r="A147">
        <v>594</v>
      </c>
      <c r="B147">
        <v>2022</v>
      </c>
      <c r="C147" t="str">
        <f>VLOOKUP(SalaryInfo[[#This Row],[experience_level]],Experience[],2,FALSE)</f>
        <v>Senior</v>
      </c>
      <c r="D147" t="s">
        <v>17</v>
      </c>
      <c r="E147" t="str">
        <f>VLOOKUP(SalaryInfo[[#This Row],[employment_type]],EmpType[],2,FALSE)</f>
        <v>Full Time</v>
      </c>
      <c r="F147" t="s">
        <v>12</v>
      </c>
      <c r="G147" t="s">
        <v>105</v>
      </c>
      <c r="H147">
        <v>150260</v>
      </c>
      <c r="I147" t="s">
        <v>19</v>
      </c>
      <c r="J147">
        <v>150260</v>
      </c>
      <c r="K147" t="s">
        <v>29</v>
      </c>
      <c r="L147">
        <v>100</v>
      </c>
      <c r="M147" t="s">
        <v>29</v>
      </c>
      <c r="N147" t="s">
        <v>25</v>
      </c>
      <c r="O147" t="str">
        <f>VLOOKUP(SalaryInfo[[#This Row],[company_size]],CompanySize[],2,FALSE)</f>
        <v>Medium</v>
      </c>
    </row>
    <row r="148" spans="1:15">
      <c r="A148">
        <v>577</v>
      </c>
      <c r="B148">
        <v>2022</v>
      </c>
      <c r="C148" t="str">
        <f>VLOOKUP(SalaryInfo[[#This Row],[experience_level]],Experience[],2,FALSE)</f>
        <v>Senior</v>
      </c>
      <c r="D148" t="s">
        <v>17</v>
      </c>
      <c r="E148" t="str">
        <f>VLOOKUP(SalaryInfo[[#This Row],[employment_type]],EmpType[],2,FALSE)</f>
        <v>Full Time</v>
      </c>
      <c r="F148" t="s">
        <v>12</v>
      </c>
      <c r="G148" t="s">
        <v>31</v>
      </c>
      <c r="H148">
        <v>150075</v>
      </c>
      <c r="I148" t="s">
        <v>19</v>
      </c>
      <c r="J148">
        <v>150075</v>
      </c>
      <c r="K148" t="s">
        <v>29</v>
      </c>
      <c r="L148">
        <v>100</v>
      </c>
      <c r="M148" t="s">
        <v>29</v>
      </c>
      <c r="N148" t="s">
        <v>25</v>
      </c>
      <c r="O148" t="str">
        <f>VLOOKUP(SalaryInfo[[#This Row],[company_size]],CompanySize[],2,FALSE)</f>
        <v>Medium</v>
      </c>
    </row>
    <row r="149" spans="1:15">
      <c r="A149">
        <v>4</v>
      </c>
      <c r="B149">
        <v>2020</v>
      </c>
      <c r="C149" t="str">
        <f>VLOOKUP(SalaryInfo[[#This Row],[experience_level]],Experience[],2,FALSE)</f>
        <v>Senior</v>
      </c>
      <c r="D149" t="s">
        <v>17</v>
      </c>
      <c r="E149" t="str">
        <f>VLOOKUP(SalaryInfo[[#This Row],[employment_type]],EmpType[],2,FALSE)</f>
        <v>Full Time</v>
      </c>
      <c r="F149" t="s">
        <v>12</v>
      </c>
      <c r="G149" t="s">
        <v>28</v>
      </c>
      <c r="H149">
        <v>150000</v>
      </c>
      <c r="I149" t="s">
        <v>19</v>
      </c>
      <c r="J149">
        <v>150000</v>
      </c>
      <c r="K149" t="s">
        <v>29</v>
      </c>
      <c r="L149">
        <v>50</v>
      </c>
      <c r="M149" t="s">
        <v>29</v>
      </c>
      <c r="N149" t="s">
        <v>16</v>
      </c>
      <c r="O149" t="str">
        <f>VLOOKUP(SalaryInfo[[#This Row],[company_size]],CompanySize[],2,FALSE)</f>
        <v>Large</v>
      </c>
    </row>
    <row r="150" spans="1:15">
      <c r="A150">
        <v>101</v>
      </c>
      <c r="B150">
        <v>2021</v>
      </c>
      <c r="C150" t="str">
        <f>VLOOKUP(SalaryInfo[[#This Row],[experience_level]],Experience[],2,FALSE)</f>
        <v>Senior</v>
      </c>
      <c r="D150" t="s">
        <v>17</v>
      </c>
      <c r="E150" t="str">
        <f>VLOOKUP(SalaryInfo[[#This Row],[employment_type]],EmpType[],2,FALSE)</f>
        <v>Full Time</v>
      </c>
      <c r="F150" t="s">
        <v>12</v>
      </c>
      <c r="G150" t="s">
        <v>43</v>
      </c>
      <c r="H150">
        <v>150000</v>
      </c>
      <c r="I150" t="s">
        <v>19</v>
      </c>
      <c r="J150">
        <v>150000</v>
      </c>
      <c r="K150" t="s">
        <v>29</v>
      </c>
      <c r="L150">
        <v>100</v>
      </c>
      <c r="M150" t="s">
        <v>29</v>
      </c>
      <c r="N150" t="s">
        <v>16</v>
      </c>
      <c r="O150" t="str">
        <f>VLOOKUP(SalaryInfo[[#This Row],[company_size]],CompanySize[],2,FALSE)</f>
        <v>Large</v>
      </c>
    </row>
    <row r="151" spans="1:15">
      <c r="A151">
        <v>108</v>
      </c>
      <c r="B151">
        <v>2021</v>
      </c>
      <c r="C151" t="str">
        <f>VLOOKUP(SalaryInfo[[#This Row],[experience_level]],Experience[],2,FALSE)</f>
        <v>Senior</v>
      </c>
      <c r="D151" t="s">
        <v>17</v>
      </c>
      <c r="E151" t="str">
        <f>VLOOKUP(SalaryInfo[[#This Row],[employment_type]],EmpType[],2,FALSE)</f>
        <v>Full Time</v>
      </c>
      <c r="F151" t="s">
        <v>12</v>
      </c>
      <c r="G151" t="s">
        <v>43</v>
      </c>
      <c r="H151">
        <v>150000</v>
      </c>
      <c r="I151" t="s">
        <v>19</v>
      </c>
      <c r="J151">
        <v>150000</v>
      </c>
      <c r="K151" t="s">
        <v>29</v>
      </c>
      <c r="L151">
        <v>100</v>
      </c>
      <c r="M151" t="s">
        <v>29</v>
      </c>
      <c r="N151" t="s">
        <v>25</v>
      </c>
      <c r="O151" t="str">
        <f>VLOOKUP(SalaryInfo[[#This Row],[company_size]],CompanySize[],2,FALSE)</f>
        <v>Medium</v>
      </c>
    </row>
    <row r="152" spans="1:15">
      <c r="A152">
        <v>142</v>
      </c>
      <c r="B152">
        <v>2021</v>
      </c>
      <c r="C152" t="str">
        <f>VLOOKUP(SalaryInfo[[#This Row],[experience_level]],Experience[],2,FALSE)</f>
        <v>Senior</v>
      </c>
      <c r="D152" t="s">
        <v>17</v>
      </c>
      <c r="E152" t="str">
        <f>VLOOKUP(SalaryInfo[[#This Row],[employment_type]],EmpType[],2,FALSE)</f>
        <v>Full Time</v>
      </c>
      <c r="F152" t="s">
        <v>12</v>
      </c>
      <c r="G152" t="s">
        <v>63</v>
      </c>
      <c r="H152">
        <v>150000</v>
      </c>
      <c r="I152" t="s">
        <v>19</v>
      </c>
      <c r="J152">
        <v>150000</v>
      </c>
      <c r="K152" t="s">
        <v>29</v>
      </c>
      <c r="L152">
        <v>0</v>
      </c>
      <c r="M152" t="s">
        <v>29</v>
      </c>
      <c r="N152" t="s">
        <v>16</v>
      </c>
      <c r="O152" t="str">
        <f>VLOOKUP(SalaryInfo[[#This Row],[company_size]],CompanySize[],2,FALSE)</f>
        <v>Large</v>
      </c>
    </row>
    <row r="153" spans="1:15">
      <c r="A153">
        <v>73</v>
      </c>
      <c r="B153">
        <v>2021</v>
      </c>
      <c r="C153" t="str">
        <f>VLOOKUP(SalaryInfo[[#This Row],[experience_level]],Experience[],2,FALSE)</f>
        <v>Director</v>
      </c>
      <c r="D153" t="s">
        <v>53</v>
      </c>
      <c r="E153" t="str">
        <f>VLOOKUP(SalaryInfo[[#This Row],[employment_type]],EmpType[],2,FALSE)</f>
        <v>Full Time</v>
      </c>
      <c r="F153" t="s">
        <v>12</v>
      </c>
      <c r="G153" t="s">
        <v>51</v>
      </c>
      <c r="H153">
        <v>150000</v>
      </c>
      <c r="I153" t="s">
        <v>19</v>
      </c>
      <c r="J153">
        <v>150000</v>
      </c>
      <c r="K153" t="s">
        <v>40</v>
      </c>
      <c r="L153">
        <v>100</v>
      </c>
      <c r="M153" t="s">
        <v>29</v>
      </c>
      <c r="N153" t="s">
        <v>16</v>
      </c>
      <c r="O153" t="str">
        <f>VLOOKUP(SalaryInfo[[#This Row],[company_size]],CompanySize[],2,FALSE)</f>
        <v>Large</v>
      </c>
    </row>
    <row r="154" spans="1:15">
      <c r="A154">
        <v>356</v>
      </c>
      <c r="B154">
        <v>2022</v>
      </c>
      <c r="C154" t="str">
        <f>VLOOKUP(SalaryInfo[[#This Row],[experience_level]],Experience[],2,FALSE)</f>
        <v>Senior</v>
      </c>
      <c r="D154" t="s">
        <v>17</v>
      </c>
      <c r="E154" t="str">
        <f>VLOOKUP(SalaryInfo[[#This Row],[employment_type]],EmpType[],2,FALSE)</f>
        <v>Full Time</v>
      </c>
      <c r="F154" t="s">
        <v>12</v>
      </c>
      <c r="G154" t="s">
        <v>13</v>
      </c>
      <c r="H154">
        <v>150000</v>
      </c>
      <c r="I154" t="s">
        <v>19</v>
      </c>
      <c r="J154">
        <v>150000</v>
      </c>
      <c r="K154" t="s">
        <v>29</v>
      </c>
      <c r="L154">
        <v>0</v>
      </c>
      <c r="M154" t="s">
        <v>29</v>
      </c>
      <c r="N154" t="s">
        <v>25</v>
      </c>
      <c r="O154" t="str">
        <f>VLOOKUP(SalaryInfo[[#This Row],[company_size]],CompanySize[],2,FALSE)</f>
        <v>Medium</v>
      </c>
    </row>
    <row r="155" spans="1:15">
      <c r="A155">
        <v>151</v>
      </c>
      <c r="B155">
        <v>2021</v>
      </c>
      <c r="C155" t="str">
        <f>VLOOKUP(SalaryInfo[[#This Row],[experience_level]],Experience[],2,FALSE)</f>
        <v>Intermediate</v>
      </c>
      <c r="D155" t="s">
        <v>11</v>
      </c>
      <c r="E155" t="str">
        <f>VLOOKUP(SalaryInfo[[#This Row],[employment_type]],EmpType[],2,FALSE)</f>
        <v>Full Time</v>
      </c>
      <c r="F155" t="s">
        <v>12</v>
      </c>
      <c r="G155" t="s">
        <v>13</v>
      </c>
      <c r="H155">
        <v>150000</v>
      </c>
      <c r="I155" t="s">
        <v>19</v>
      </c>
      <c r="J155">
        <v>150000</v>
      </c>
      <c r="K155" t="s">
        <v>29</v>
      </c>
      <c r="L155">
        <v>100</v>
      </c>
      <c r="M155" t="s">
        <v>29</v>
      </c>
      <c r="N155" t="s">
        <v>25</v>
      </c>
      <c r="O155" t="str">
        <f>VLOOKUP(SalaryInfo[[#This Row],[company_size]],CompanySize[],2,FALSE)</f>
        <v>Medium</v>
      </c>
    </row>
    <row r="156" spans="1:15">
      <c r="A156">
        <v>169</v>
      </c>
      <c r="B156">
        <v>2021</v>
      </c>
      <c r="C156" t="str">
        <f>VLOOKUP(SalaryInfo[[#This Row],[experience_level]],Experience[],2,FALSE)</f>
        <v>Intermediate</v>
      </c>
      <c r="D156" t="s">
        <v>11</v>
      </c>
      <c r="E156" t="str">
        <f>VLOOKUP(SalaryInfo[[#This Row],[employment_type]],EmpType[],2,FALSE)</f>
        <v>Full Time</v>
      </c>
      <c r="F156" t="s">
        <v>12</v>
      </c>
      <c r="G156" t="s">
        <v>109</v>
      </c>
      <c r="H156">
        <v>150000</v>
      </c>
      <c r="I156" t="s">
        <v>19</v>
      </c>
      <c r="J156">
        <v>150000</v>
      </c>
      <c r="K156" t="s">
        <v>29</v>
      </c>
      <c r="L156">
        <v>100</v>
      </c>
      <c r="M156" t="s">
        <v>29</v>
      </c>
      <c r="N156" t="s">
        <v>16</v>
      </c>
      <c r="O156" t="str">
        <f>VLOOKUP(SalaryInfo[[#This Row],[company_size]],CompanySize[],2,FALSE)</f>
        <v>Large</v>
      </c>
    </row>
    <row r="157" spans="1:15">
      <c r="A157">
        <v>295</v>
      </c>
      <c r="B157">
        <v>2022</v>
      </c>
      <c r="C157" t="str">
        <f>VLOOKUP(SalaryInfo[[#This Row],[experience_level]],Experience[],2,FALSE)</f>
        <v>Intermediate</v>
      </c>
      <c r="D157" t="s">
        <v>11</v>
      </c>
      <c r="E157" t="str">
        <f>VLOOKUP(SalaryInfo[[#This Row],[employment_type]],EmpType[],2,FALSE)</f>
        <v>Full Time</v>
      </c>
      <c r="F157" t="s">
        <v>12</v>
      </c>
      <c r="G157" t="s">
        <v>43</v>
      </c>
      <c r="H157">
        <v>150000</v>
      </c>
      <c r="I157" t="s">
        <v>19</v>
      </c>
      <c r="J157">
        <v>150000</v>
      </c>
      <c r="K157" t="s">
        <v>29</v>
      </c>
      <c r="L157">
        <v>100</v>
      </c>
      <c r="M157" t="s">
        <v>29</v>
      </c>
      <c r="N157" t="s">
        <v>25</v>
      </c>
      <c r="O157" t="str">
        <f>VLOOKUP(SalaryInfo[[#This Row],[company_size]],CompanySize[],2,FALSE)</f>
        <v>Medium</v>
      </c>
    </row>
    <row r="158" spans="1:15">
      <c r="A158">
        <v>510</v>
      </c>
      <c r="B158">
        <v>2022</v>
      </c>
      <c r="C158" t="str">
        <f>VLOOKUP(SalaryInfo[[#This Row],[experience_level]],Experience[],2,FALSE)</f>
        <v>Junior</v>
      </c>
      <c r="D158" t="s">
        <v>30</v>
      </c>
      <c r="E158" t="str">
        <f>VLOOKUP(SalaryInfo[[#This Row],[employment_type]],EmpType[],2,FALSE)</f>
        <v>Full Time</v>
      </c>
      <c r="F158" t="s">
        <v>12</v>
      </c>
      <c r="G158" t="s">
        <v>93</v>
      </c>
      <c r="H158">
        <v>150000</v>
      </c>
      <c r="I158" t="s">
        <v>19</v>
      </c>
      <c r="J158">
        <v>150000</v>
      </c>
      <c r="K158" t="s">
        <v>142</v>
      </c>
      <c r="L158">
        <v>100</v>
      </c>
      <c r="M158" t="s">
        <v>142</v>
      </c>
      <c r="N158" t="s">
        <v>21</v>
      </c>
      <c r="O158" t="str">
        <f>VLOOKUP(SalaryInfo[[#This Row],[company_size]],CompanySize[],2,FALSE)</f>
        <v>Small</v>
      </c>
    </row>
    <row r="159" spans="1:15">
      <c r="A159">
        <v>593</v>
      </c>
      <c r="B159">
        <v>2022</v>
      </c>
      <c r="C159" t="str">
        <f>VLOOKUP(SalaryInfo[[#This Row],[experience_level]],Experience[],2,FALSE)</f>
        <v>Senior</v>
      </c>
      <c r="D159" t="s">
        <v>17</v>
      </c>
      <c r="E159" t="str">
        <f>VLOOKUP(SalaryInfo[[#This Row],[employment_type]],EmpType[],2,FALSE)</f>
        <v>Full Time</v>
      </c>
      <c r="F159" t="s">
        <v>12</v>
      </c>
      <c r="G159" t="s">
        <v>13</v>
      </c>
      <c r="H159">
        <v>150000</v>
      </c>
      <c r="I159" t="s">
        <v>19</v>
      </c>
      <c r="J159">
        <v>150000</v>
      </c>
      <c r="K159" t="s">
        <v>29</v>
      </c>
      <c r="L159">
        <v>100</v>
      </c>
      <c r="M159" t="s">
        <v>29</v>
      </c>
      <c r="N159" t="s">
        <v>25</v>
      </c>
      <c r="O159" t="str">
        <f>VLOOKUP(SalaryInfo[[#This Row],[company_size]],CompanySize[],2,FALSE)</f>
        <v>Medium</v>
      </c>
    </row>
    <row r="160" spans="1:15">
      <c r="A160">
        <v>605</v>
      </c>
      <c r="B160">
        <v>2022</v>
      </c>
      <c r="C160" t="str">
        <f>VLOOKUP(SalaryInfo[[#This Row],[experience_level]],Experience[],2,FALSE)</f>
        <v>Senior</v>
      </c>
      <c r="D160" t="s">
        <v>17</v>
      </c>
      <c r="E160" t="str">
        <f>VLOOKUP(SalaryInfo[[#This Row],[employment_type]],EmpType[],2,FALSE)</f>
        <v>Full Time</v>
      </c>
      <c r="F160" t="s">
        <v>12</v>
      </c>
      <c r="G160" t="s">
        <v>31</v>
      </c>
      <c r="H160">
        <v>150000</v>
      </c>
      <c r="I160" t="s">
        <v>19</v>
      </c>
      <c r="J160">
        <v>150000</v>
      </c>
      <c r="K160" t="s">
        <v>29</v>
      </c>
      <c r="L160">
        <v>100</v>
      </c>
      <c r="M160" t="s">
        <v>29</v>
      </c>
      <c r="N160" t="s">
        <v>25</v>
      </c>
      <c r="O160" t="str">
        <f>VLOOKUP(SalaryInfo[[#This Row],[company_size]],CompanySize[],2,FALSE)</f>
        <v>Medium</v>
      </c>
    </row>
    <row r="161" spans="1:15">
      <c r="A161">
        <v>55</v>
      </c>
      <c r="B161">
        <v>2020</v>
      </c>
      <c r="C161" t="str">
        <f>VLOOKUP(SalaryInfo[[#This Row],[experience_level]],Experience[],2,FALSE)</f>
        <v>Senior</v>
      </c>
      <c r="D161" t="s">
        <v>17</v>
      </c>
      <c r="E161" t="str">
        <f>VLOOKUP(SalaryInfo[[#This Row],[employment_type]],EmpType[],2,FALSE)</f>
        <v>Full Time</v>
      </c>
      <c r="F161" t="s">
        <v>12</v>
      </c>
      <c r="G161" t="s">
        <v>76</v>
      </c>
      <c r="H161">
        <v>130000</v>
      </c>
      <c r="I161" t="s">
        <v>14</v>
      </c>
      <c r="J161">
        <v>148261</v>
      </c>
      <c r="K161" t="s">
        <v>15</v>
      </c>
      <c r="L161">
        <v>100</v>
      </c>
      <c r="M161" t="s">
        <v>15</v>
      </c>
      <c r="N161" t="s">
        <v>25</v>
      </c>
      <c r="O161" t="str">
        <f>VLOOKUP(SalaryInfo[[#This Row],[company_size]],CompanySize[],2,FALSE)</f>
        <v>Medium</v>
      </c>
    </row>
    <row r="162" spans="1:15">
      <c r="A162">
        <v>379</v>
      </c>
      <c r="B162">
        <v>2022</v>
      </c>
      <c r="C162" t="str">
        <f>VLOOKUP(SalaryInfo[[#This Row],[experience_level]],Experience[],2,FALSE)</f>
        <v>Senior</v>
      </c>
      <c r="D162" t="s">
        <v>17</v>
      </c>
      <c r="E162" t="str">
        <f>VLOOKUP(SalaryInfo[[#This Row],[employment_type]],EmpType[],2,FALSE)</f>
        <v>Full Time</v>
      </c>
      <c r="F162" t="s">
        <v>12</v>
      </c>
      <c r="G162" t="s">
        <v>109</v>
      </c>
      <c r="H162">
        <v>147800</v>
      </c>
      <c r="I162" t="s">
        <v>19</v>
      </c>
      <c r="J162">
        <v>147800</v>
      </c>
      <c r="K162" t="s">
        <v>29</v>
      </c>
      <c r="L162">
        <v>100</v>
      </c>
      <c r="M162" t="s">
        <v>29</v>
      </c>
      <c r="N162" t="s">
        <v>25</v>
      </c>
      <c r="O162" t="str">
        <f>VLOOKUP(SalaryInfo[[#This Row],[company_size]],CompanySize[],2,FALSE)</f>
        <v>Medium</v>
      </c>
    </row>
    <row r="163" spans="1:15">
      <c r="A163">
        <v>195</v>
      </c>
      <c r="B163">
        <v>2021</v>
      </c>
      <c r="C163" t="str">
        <f>VLOOKUP(SalaryInfo[[#This Row],[experience_level]],Experience[],2,FALSE)</f>
        <v>Intermediate</v>
      </c>
      <c r="D163" t="s">
        <v>11</v>
      </c>
      <c r="E163" t="str">
        <f>VLOOKUP(SalaryInfo[[#This Row],[employment_type]],EmpType[],2,FALSE)</f>
        <v>Full Time</v>
      </c>
      <c r="F163" t="s">
        <v>12</v>
      </c>
      <c r="G163" t="s">
        <v>13</v>
      </c>
      <c r="H163">
        <v>147000</v>
      </c>
      <c r="I163" t="s">
        <v>19</v>
      </c>
      <c r="J163">
        <v>147000</v>
      </c>
      <c r="K163" t="s">
        <v>29</v>
      </c>
      <c r="L163">
        <v>50</v>
      </c>
      <c r="M163" t="s">
        <v>29</v>
      </c>
      <c r="N163" t="s">
        <v>16</v>
      </c>
      <c r="O163" t="str">
        <f>VLOOKUP(SalaryInfo[[#This Row],[company_size]],CompanySize[],2,FALSE)</f>
        <v>Large</v>
      </c>
    </row>
    <row r="164" spans="1:15">
      <c r="A164">
        <v>302</v>
      </c>
      <c r="B164">
        <v>2022</v>
      </c>
      <c r="C164" t="str">
        <f>VLOOKUP(SalaryInfo[[#This Row],[experience_level]],Experience[],2,FALSE)</f>
        <v>Senior</v>
      </c>
      <c r="D164" t="s">
        <v>17</v>
      </c>
      <c r="E164" t="str">
        <f>VLOOKUP(SalaryInfo[[#This Row],[employment_type]],EmpType[],2,FALSE)</f>
        <v>Full Time</v>
      </c>
      <c r="F164" t="s">
        <v>12</v>
      </c>
      <c r="G164" t="s">
        <v>13</v>
      </c>
      <c r="H164">
        <v>146000</v>
      </c>
      <c r="I164" t="s">
        <v>19</v>
      </c>
      <c r="J164">
        <v>146000</v>
      </c>
      <c r="K164" t="s">
        <v>29</v>
      </c>
      <c r="L164">
        <v>100</v>
      </c>
      <c r="M164" t="s">
        <v>29</v>
      </c>
      <c r="N164" t="s">
        <v>25</v>
      </c>
      <c r="O164" t="str">
        <f>VLOOKUP(SalaryInfo[[#This Row],[company_size]],CompanySize[],2,FALSE)</f>
        <v>Medium</v>
      </c>
    </row>
    <row r="165" spans="1:15">
      <c r="A165">
        <v>394</v>
      </c>
      <c r="B165">
        <v>2022</v>
      </c>
      <c r="C165" t="str">
        <f>VLOOKUP(SalaryInfo[[#This Row],[experience_level]],Experience[],2,FALSE)</f>
        <v>Senior</v>
      </c>
      <c r="D165" t="s">
        <v>17</v>
      </c>
      <c r="E165" t="str">
        <f>VLOOKUP(SalaryInfo[[#This Row],[employment_type]],EmpType[],2,FALSE)</f>
        <v>Full Time</v>
      </c>
      <c r="F165" t="s">
        <v>12</v>
      </c>
      <c r="G165" t="s">
        <v>105</v>
      </c>
      <c r="H165">
        <v>145000</v>
      </c>
      <c r="I165" t="s">
        <v>19</v>
      </c>
      <c r="J165">
        <v>145000</v>
      </c>
      <c r="K165" t="s">
        <v>29</v>
      </c>
      <c r="L165">
        <v>100</v>
      </c>
      <c r="M165" t="s">
        <v>29</v>
      </c>
      <c r="N165" t="s">
        <v>25</v>
      </c>
      <c r="O165" t="str">
        <f>VLOOKUP(SalaryInfo[[#This Row],[company_size]],CompanySize[],2,FALSE)</f>
        <v>Medium</v>
      </c>
    </row>
    <row r="166" spans="1:15">
      <c r="A166">
        <v>556</v>
      </c>
      <c r="B166">
        <v>2022</v>
      </c>
      <c r="C166" t="str">
        <f>VLOOKUP(SalaryInfo[[#This Row],[experience_level]],Experience[],2,FALSE)</f>
        <v>Senior</v>
      </c>
      <c r="D166" t="s">
        <v>17</v>
      </c>
      <c r="E166" t="str">
        <f>VLOOKUP(SalaryInfo[[#This Row],[employment_type]],EmpType[],2,FALSE)</f>
        <v>Full Time</v>
      </c>
      <c r="F166" t="s">
        <v>12</v>
      </c>
      <c r="G166" t="s">
        <v>43</v>
      </c>
      <c r="H166">
        <v>145000</v>
      </c>
      <c r="I166" t="s">
        <v>19</v>
      </c>
      <c r="J166">
        <v>145000</v>
      </c>
      <c r="K166" t="s">
        <v>29</v>
      </c>
      <c r="L166">
        <v>100</v>
      </c>
      <c r="M166" t="s">
        <v>29</v>
      </c>
      <c r="N166" t="s">
        <v>25</v>
      </c>
      <c r="O166" t="str">
        <f>VLOOKUP(SalaryInfo[[#This Row],[company_size]],CompanySize[],2,FALSE)</f>
        <v>Medium</v>
      </c>
    </row>
    <row r="167" spans="1:15">
      <c r="A167">
        <v>591</v>
      </c>
      <c r="B167">
        <v>2022</v>
      </c>
      <c r="C167" t="str">
        <f>VLOOKUP(SalaryInfo[[#This Row],[experience_level]],Experience[],2,FALSE)</f>
        <v>Senior</v>
      </c>
      <c r="D167" t="s">
        <v>17</v>
      </c>
      <c r="E167" t="str">
        <f>VLOOKUP(SalaryInfo[[#This Row],[employment_type]],EmpType[],2,FALSE)</f>
        <v>Full Time</v>
      </c>
      <c r="F167" t="s">
        <v>12</v>
      </c>
      <c r="G167" t="s">
        <v>109</v>
      </c>
      <c r="H167">
        <v>144854</v>
      </c>
      <c r="I167" t="s">
        <v>19</v>
      </c>
      <c r="J167">
        <v>144854</v>
      </c>
      <c r="K167" t="s">
        <v>29</v>
      </c>
      <c r="L167">
        <v>100</v>
      </c>
      <c r="M167" t="s">
        <v>29</v>
      </c>
      <c r="N167" t="s">
        <v>25</v>
      </c>
      <c r="O167" t="str">
        <f>VLOOKUP(SalaryInfo[[#This Row],[company_size]],CompanySize[],2,FALSE)</f>
        <v>Medium</v>
      </c>
    </row>
    <row r="168" spans="1:15">
      <c r="A168">
        <v>154</v>
      </c>
      <c r="B168">
        <v>2021</v>
      </c>
      <c r="C168" t="str">
        <f>VLOOKUP(SalaryInfo[[#This Row],[experience_level]],Experience[],2,FALSE)</f>
        <v>Senior</v>
      </c>
      <c r="D168" t="s">
        <v>17</v>
      </c>
      <c r="E168" t="str">
        <f>VLOOKUP(SalaryInfo[[#This Row],[employment_type]],EmpType[],2,FALSE)</f>
        <v>Full Time</v>
      </c>
      <c r="F168" t="s">
        <v>12</v>
      </c>
      <c r="G168" t="s">
        <v>79</v>
      </c>
      <c r="H168">
        <v>144000</v>
      </c>
      <c r="I168" t="s">
        <v>19</v>
      </c>
      <c r="J168">
        <v>144000</v>
      </c>
      <c r="K168" t="s">
        <v>29</v>
      </c>
      <c r="L168">
        <v>100</v>
      </c>
      <c r="M168" t="s">
        <v>29</v>
      </c>
      <c r="N168" t="s">
        <v>16</v>
      </c>
      <c r="O168" t="str">
        <f>VLOOKUP(SalaryInfo[[#This Row],[company_size]],CompanySize[],2,FALSE)</f>
        <v>Large</v>
      </c>
    </row>
    <row r="169" spans="1:15">
      <c r="A169">
        <v>466</v>
      </c>
      <c r="B169">
        <v>2022</v>
      </c>
      <c r="C169" t="str">
        <f>VLOOKUP(SalaryInfo[[#This Row],[experience_level]],Experience[],2,FALSE)</f>
        <v>Senior</v>
      </c>
      <c r="D169" t="s">
        <v>17</v>
      </c>
      <c r="E169" t="str">
        <f>VLOOKUP(SalaryInfo[[#This Row],[employment_type]],EmpType[],2,FALSE)</f>
        <v>Full Time</v>
      </c>
      <c r="F169" t="s">
        <v>12</v>
      </c>
      <c r="G169" t="s">
        <v>55</v>
      </c>
      <c r="H169">
        <v>144000</v>
      </c>
      <c r="I169" t="s">
        <v>19</v>
      </c>
      <c r="J169">
        <v>144000</v>
      </c>
      <c r="K169" t="s">
        <v>29</v>
      </c>
      <c r="L169">
        <v>50</v>
      </c>
      <c r="M169" t="s">
        <v>29</v>
      </c>
      <c r="N169" t="s">
        <v>16</v>
      </c>
      <c r="O169" t="str">
        <f>VLOOKUP(SalaryInfo[[#This Row],[company_size]],CompanySize[],2,FALSE)</f>
        <v>Large</v>
      </c>
    </row>
    <row r="170" spans="1:15">
      <c r="A170">
        <v>553</v>
      </c>
      <c r="B170">
        <v>2022</v>
      </c>
      <c r="C170" t="str">
        <f>VLOOKUP(SalaryInfo[[#This Row],[experience_level]],Experience[],2,FALSE)</f>
        <v>Senior</v>
      </c>
      <c r="D170" t="s">
        <v>17</v>
      </c>
      <c r="E170" t="str">
        <f>VLOOKUP(SalaryInfo[[#This Row],[employment_type]],EmpType[],2,FALSE)</f>
        <v>Full Time</v>
      </c>
      <c r="F170" t="s">
        <v>12</v>
      </c>
      <c r="G170" t="s">
        <v>13</v>
      </c>
      <c r="H170">
        <v>144000</v>
      </c>
      <c r="I170" t="s">
        <v>19</v>
      </c>
      <c r="J170">
        <v>144000</v>
      </c>
      <c r="K170" t="s">
        <v>29</v>
      </c>
      <c r="L170">
        <v>100</v>
      </c>
      <c r="M170" t="s">
        <v>29</v>
      </c>
      <c r="N170" t="s">
        <v>25</v>
      </c>
      <c r="O170" t="str">
        <f>VLOOKUP(SalaryInfo[[#This Row],[company_size]],CompanySize[],2,FALSE)</f>
        <v>Medium</v>
      </c>
    </row>
    <row r="171" spans="1:15">
      <c r="A171">
        <v>259</v>
      </c>
      <c r="B171">
        <v>2021</v>
      </c>
      <c r="C171" t="str">
        <f>VLOOKUP(SalaryInfo[[#This Row],[experience_level]],Experience[],2,FALSE)</f>
        <v>Director</v>
      </c>
      <c r="D171" t="s">
        <v>53</v>
      </c>
      <c r="E171" t="str">
        <f>VLOOKUP(SalaryInfo[[#This Row],[employment_type]],EmpType[],2,FALSE)</f>
        <v>Full Time</v>
      </c>
      <c r="F171" t="s">
        <v>12</v>
      </c>
      <c r="G171" t="s">
        <v>54</v>
      </c>
      <c r="H171">
        <v>120000</v>
      </c>
      <c r="I171" t="s">
        <v>14</v>
      </c>
      <c r="J171">
        <v>141846</v>
      </c>
      <c r="K171" t="s">
        <v>15</v>
      </c>
      <c r="L171">
        <v>0</v>
      </c>
      <c r="M171" t="s">
        <v>15</v>
      </c>
      <c r="N171" t="s">
        <v>16</v>
      </c>
      <c r="O171" t="str">
        <f>VLOOKUP(SalaryInfo[[#This Row],[company_size]],CompanySize[],2,FALSE)</f>
        <v>Large</v>
      </c>
    </row>
    <row r="172" spans="1:15">
      <c r="A172">
        <v>538</v>
      </c>
      <c r="B172">
        <v>2022</v>
      </c>
      <c r="C172" t="str">
        <f>VLOOKUP(SalaryInfo[[#This Row],[experience_level]],Experience[],2,FALSE)</f>
        <v>Intermediate</v>
      </c>
      <c r="D172" t="s">
        <v>11</v>
      </c>
      <c r="E172" t="str">
        <f>VLOOKUP(SalaryInfo[[#This Row],[employment_type]],EmpType[],2,FALSE)</f>
        <v>Full Time</v>
      </c>
      <c r="F172" t="s">
        <v>12</v>
      </c>
      <c r="G172" t="s">
        <v>13</v>
      </c>
      <c r="H172">
        <v>141300</v>
      </c>
      <c r="I172" t="s">
        <v>19</v>
      </c>
      <c r="J172">
        <v>141300</v>
      </c>
      <c r="K172" t="s">
        <v>29</v>
      </c>
      <c r="L172">
        <v>0</v>
      </c>
      <c r="M172" t="s">
        <v>29</v>
      </c>
      <c r="N172" t="s">
        <v>25</v>
      </c>
      <c r="O172" t="str">
        <f>VLOOKUP(SalaryInfo[[#This Row],[company_size]],CompanySize[],2,FALSE)</f>
        <v>Medium</v>
      </c>
    </row>
    <row r="173" spans="1:15">
      <c r="A173">
        <v>428</v>
      </c>
      <c r="B173">
        <v>2022</v>
      </c>
      <c r="C173" t="str">
        <f>VLOOKUP(SalaryInfo[[#This Row],[experience_level]],Experience[],2,FALSE)</f>
        <v>Senior</v>
      </c>
      <c r="D173" t="s">
        <v>17</v>
      </c>
      <c r="E173" t="str">
        <f>VLOOKUP(SalaryInfo[[#This Row],[employment_type]],EmpType[],2,FALSE)</f>
        <v>Full Time</v>
      </c>
      <c r="F173" t="s">
        <v>12</v>
      </c>
      <c r="G173" t="s">
        <v>13</v>
      </c>
      <c r="H173">
        <v>140400</v>
      </c>
      <c r="I173" t="s">
        <v>19</v>
      </c>
      <c r="J173">
        <v>140400</v>
      </c>
      <c r="K173" t="s">
        <v>29</v>
      </c>
      <c r="L173">
        <v>0</v>
      </c>
      <c r="M173" t="s">
        <v>29</v>
      </c>
      <c r="N173" t="s">
        <v>16</v>
      </c>
      <c r="O173" t="str">
        <f>VLOOKUP(SalaryInfo[[#This Row],[company_size]],CompanySize[],2,FALSE)</f>
        <v>Large</v>
      </c>
    </row>
    <row r="174" spans="1:15">
      <c r="A174">
        <v>551</v>
      </c>
      <c r="B174">
        <v>2022</v>
      </c>
      <c r="C174" t="str">
        <f>VLOOKUP(SalaryInfo[[#This Row],[experience_level]],Experience[],2,FALSE)</f>
        <v>Senior</v>
      </c>
      <c r="D174" t="s">
        <v>17</v>
      </c>
      <c r="E174" t="str">
        <f>VLOOKUP(SalaryInfo[[#This Row],[employment_type]],EmpType[],2,FALSE)</f>
        <v>Full Time</v>
      </c>
      <c r="F174" t="s">
        <v>12</v>
      </c>
      <c r="G174" t="s">
        <v>13</v>
      </c>
      <c r="H174">
        <v>140400</v>
      </c>
      <c r="I174" t="s">
        <v>19</v>
      </c>
      <c r="J174">
        <v>140400</v>
      </c>
      <c r="K174" t="s">
        <v>29</v>
      </c>
      <c r="L174">
        <v>0</v>
      </c>
      <c r="M174" t="s">
        <v>29</v>
      </c>
      <c r="N174" t="s">
        <v>16</v>
      </c>
      <c r="O174" t="str">
        <f>VLOOKUP(SalaryInfo[[#This Row],[company_size]],CompanySize[],2,FALSE)</f>
        <v>Large</v>
      </c>
    </row>
    <row r="175" spans="1:15">
      <c r="A175">
        <v>559</v>
      </c>
      <c r="B175">
        <v>2022</v>
      </c>
      <c r="C175" t="str">
        <f>VLOOKUP(SalaryInfo[[#This Row],[experience_level]],Experience[],2,FALSE)</f>
        <v>Senior</v>
      </c>
      <c r="D175" t="s">
        <v>17</v>
      </c>
      <c r="E175" t="str">
        <f>VLOOKUP(SalaryInfo[[#This Row],[employment_type]],EmpType[],2,FALSE)</f>
        <v>Full Time</v>
      </c>
      <c r="F175" t="s">
        <v>12</v>
      </c>
      <c r="G175" t="s">
        <v>13</v>
      </c>
      <c r="H175">
        <v>140400</v>
      </c>
      <c r="I175" t="s">
        <v>19</v>
      </c>
      <c r="J175">
        <v>140400</v>
      </c>
      <c r="K175" t="s">
        <v>29</v>
      </c>
      <c r="L175">
        <v>0</v>
      </c>
      <c r="M175" t="s">
        <v>29</v>
      </c>
      <c r="N175" t="s">
        <v>25</v>
      </c>
      <c r="O175" t="str">
        <f>VLOOKUP(SalaryInfo[[#This Row],[company_size]],CompanySize[],2,FALSE)</f>
        <v>Medium</v>
      </c>
    </row>
    <row r="176" spans="1:15">
      <c r="A176">
        <v>563</v>
      </c>
      <c r="B176">
        <v>2022</v>
      </c>
      <c r="C176" t="str">
        <f>VLOOKUP(SalaryInfo[[#This Row],[experience_level]],Experience[],2,FALSE)</f>
        <v>Senior</v>
      </c>
      <c r="D176" t="s">
        <v>17</v>
      </c>
      <c r="E176" t="str">
        <f>VLOOKUP(SalaryInfo[[#This Row],[employment_type]],EmpType[],2,FALSE)</f>
        <v>Full Time</v>
      </c>
      <c r="F176" t="s">
        <v>12</v>
      </c>
      <c r="G176" t="s">
        <v>43</v>
      </c>
      <c r="H176">
        <v>140250</v>
      </c>
      <c r="I176" t="s">
        <v>19</v>
      </c>
      <c r="J176">
        <v>140250</v>
      </c>
      <c r="K176" t="s">
        <v>29</v>
      </c>
      <c r="L176">
        <v>100</v>
      </c>
      <c r="M176" t="s">
        <v>29</v>
      </c>
      <c r="N176" t="s">
        <v>25</v>
      </c>
      <c r="O176" t="str">
        <f>VLOOKUP(SalaryInfo[[#This Row],[company_size]],CompanySize[],2,FALSE)</f>
        <v>Medium</v>
      </c>
    </row>
    <row r="177" spans="1:15">
      <c r="A177">
        <v>219</v>
      </c>
      <c r="B177">
        <v>2021</v>
      </c>
      <c r="C177" t="str">
        <f>VLOOKUP(SalaryInfo[[#This Row],[experience_level]],Experience[],2,FALSE)</f>
        <v>Senior</v>
      </c>
      <c r="D177" t="s">
        <v>17</v>
      </c>
      <c r="E177" t="str">
        <f>VLOOKUP(SalaryInfo[[#This Row],[employment_type]],EmpType[],2,FALSE)</f>
        <v>Full Time</v>
      </c>
      <c r="F177" t="s">
        <v>12</v>
      </c>
      <c r="G177" t="s">
        <v>105</v>
      </c>
      <c r="H177">
        <v>140000</v>
      </c>
      <c r="I177" t="s">
        <v>19</v>
      </c>
      <c r="J177">
        <v>140000</v>
      </c>
      <c r="K177" t="s">
        <v>29</v>
      </c>
      <c r="L177">
        <v>100</v>
      </c>
      <c r="M177" t="s">
        <v>29</v>
      </c>
      <c r="N177" t="s">
        <v>16</v>
      </c>
      <c r="O177" t="str">
        <f>VLOOKUP(SalaryInfo[[#This Row],[company_size]],CompanySize[],2,FALSE)</f>
        <v>Large</v>
      </c>
    </row>
    <row r="178" spans="1:15">
      <c r="A178">
        <v>469</v>
      </c>
      <c r="B178">
        <v>2022</v>
      </c>
      <c r="C178" t="str">
        <f>VLOOKUP(SalaryInfo[[#This Row],[experience_level]],Experience[],2,FALSE)</f>
        <v>Senior</v>
      </c>
      <c r="D178" t="s">
        <v>17</v>
      </c>
      <c r="E178" t="str">
        <f>VLOOKUP(SalaryInfo[[#This Row],[employment_type]],EmpType[],2,FALSE)</f>
        <v>Full Time</v>
      </c>
      <c r="F178" t="s">
        <v>12</v>
      </c>
      <c r="G178" t="s">
        <v>13</v>
      </c>
      <c r="H178">
        <v>140000</v>
      </c>
      <c r="I178" t="s">
        <v>19</v>
      </c>
      <c r="J178">
        <v>140000</v>
      </c>
      <c r="K178" t="s">
        <v>29</v>
      </c>
      <c r="L178">
        <v>100</v>
      </c>
      <c r="M178" t="s">
        <v>29</v>
      </c>
      <c r="N178" t="s">
        <v>25</v>
      </c>
      <c r="O178" t="str">
        <f>VLOOKUP(SalaryInfo[[#This Row],[company_size]],CompanySize[],2,FALSE)</f>
        <v>Medium</v>
      </c>
    </row>
    <row r="179" spans="1:15">
      <c r="A179">
        <v>473</v>
      </c>
      <c r="B179">
        <v>2022</v>
      </c>
      <c r="C179" t="str">
        <f>VLOOKUP(SalaryInfo[[#This Row],[experience_level]],Experience[],2,FALSE)</f>
        <v>Senior</v>
      </c>
      <c r="D179" t="s">
        <v>17</v>
      </c>
      <c r="E179" t="str">
        <f>VLOOKUP(SalaryInfo[[#This Row],[employment_type]],EmpType[],2,FALSE)</f>
        <v>Full Time</v>
      </c>
      <c r="F179" t="s">
        <v>12</v>
      </c>
      <c r="G179" t="s">
        <v>13</v>
      </c>
      <c r="H179">
        <v>140000</v>
      </c>
      <c r="I179" t="s">
        <v>19</v>
      </c>
      <c r="J179">
        <v>140000</v>
      </c>
      <c r="K179" t="s">
        <v>29</v>
      </c>
      <c r="L179">
        <v>100</v>
      </c>
      <c r="M179" t="s">
        <v>29</v>
      </c>
      <c r="N179" t="s">
        <v>25</v>
      </c>
      <c r="O179" t="str">
        <f>VLOOKUP(SalaryInfo[[#This Row],[company_size]],CompanySize[],2,FALSE)</f>
        <v>Medium</v>
      </c>
    </row>
    <row r="180" spans="1:15">
      <c r="A180">
        <v>81</v>
      </c>
      <c r="B180">
        <v>2021</v>
      </c>
      <c r="C180" t="str">
        <f>VLOOKUP(SalaryInfo[[#This Row],[experience_level]],Experience[],2,FALSE)</f>
        <v>Intermediate</v>
      </c>
      <c r="D180" t="s">
        <v>11</v>
      </c>
      <c r="E180" t="str">
        <f>VLOOKUP(SalaryInfo[[#This Row],[employment_type]],EmpType[],2,FALSE)</f>
        <v>Full Time</v>
      </c>
      <c r="F180" t="s">
        <v>12</v>
      </c>
      <c r="G180" t="s">
        <v>43</v>
      </c>
      <c r="H180">
        <v>140000</v>
      </c>
      <c r="I180" t="s">
        <v>19</v>
      </c>
      <c r="J180">
        <v>140000</v>
      </c>
      <c r="K180" t="s">
        <v>29</v>
      </c>
      <c r="L180">
        <v>100</v>
      </c>
      <c r="M180" t="s">
        <v>29</v>
      </c>
      <c r="N180" t="s">
        <v>16</v>
      </c>
      <c r="O180" t="str">
        <f>VLOOKUP(SalaryInfo[[#This Row],[company_size]],CompanySize[],2,FALSE)</f>
        <v>Large</v>
      </c>
    </row>
    <row r="181" spans="1:15">
      <c r="A181">
        <v>569</v>
      </c>
      <c r="B181">
        <v>2022</v>
      </c>
      <c r="C181" t="str">
        <f>VLOOKUP(SalaryInfo[[#This Row],[experience_level]],Experience[],2,FALSE)</f>
        <v>Senior</v>
      </c>
      <c r="D181" t="s">
        <v>17</v>
      </c>
      <c r="E181" t="str">
        <f>VLOOKUP(SalaryInfo[[#This Row],[employment_type]],EmpType[],2,FALSE)</f>
        <v>Full Time</v>
      </c>
      <c r="F181" t="s">
        <v>12</v>
      </c>
      <c r="G181" t="s">
        <v>13</v>
      </c>
      <c r="H181">
        <v>140000</v>
      </c>
      <c r="I181" t="s">
        <v>19</v>
      </c>
      <c r="J181">
        <v>140000</v>
      </c>
      <c r="K181" t="s">
        <v>29</v>
      </c>
      <c r="L181">
        <v>100</v>
      </c>
      <c r="M181" t="s">
        <v>29</v>
      </c>
      <c r="N181" t="s">
        <v>25</v>
      </c>
      <c r="O181" t="str">
        <f>VLOOKUP(SalaryInfo[[#This Row],[company_size]],CompanySize[],2,FALSE)</f>
        <v>Medium</v>
      </c>
    </row>
    <row r="182" spans="1:15">
      <c r="A182">
        <v>571</v>
      </c>
      <c r="B182">
        <v>2022</v>
      </c>
      <c r="C182" t="str">
        <f>VLOOKUP(SalaryInfo[[#This Row],[experience_level]],Experience[],2,FALSE)</f>
        <v>Senior</v>
      </c>
      <c r="D182" t="s">
        <v>17</v>
      </c>
      <c r="E182" t="str">
        <f>VLOOKUP(SalaryInfo[[#This Row],[employment_type]],EmpType[],2,FALSE)</f>
        <v>Full Time</v>
      </c>
      <c r="F182" t="s">
        <v>12</v>
      </c>
      <c r="G182" t="s">
        <v>13</v>
      </c>
      <c r="H182">
        <v>140000</v>
      </c>
      <c r="I182" t="s">
        <v>19</v>
      </c>
      <c r="J182">
        <v>140000</v>
      </c>
      <c r="K182" t="s">
        <v>29</v>
      </c>
      <c r="L182">
        <v>100</v>
      </c>
      <c r="M182" t="s">
        <v>29</v>
      </c>
      <c r="N182" t="s">
        <v>25</v>
      </c>
      <c r="O182" t="str">
        <f>VLOOKUP(SalaryInfo[[#This Row],[company_size]],CompanySize[],2,FALSE)</f>
        <v>Medium</v>
      </c>
    </row>
    <row r="183" spans="1:15">
      <c r="A183">
        <v>575</v>
      </c>
      <c r="B183">
        <v>2022</v>
      </c>
      <c r="C183" t="str">
        <f>VLOOKUP(SalaryInfo[[#This Row],[experience_level]],Experience[],2,FALSE)</f>
        <v>Senior</v>
      </c>
      <c r="D183" t="s">
        <v>17</v>
      </c>
      <c r="E183" t="str">
        <f>VLOOKUP(SalaryInfo[[#This Row],[employment_type]],EmpType[],2,FALSE)</f>
        <v>Full Time</v>
      </c>
      <c r="F183" t="s">
        <v>12</v>
      </c>
      <c r="G183" t="s">
        <v>13</v>
      </c>
      <c r="H183">
        <v>140000</v>
      </c>
      <c r="I183" t="s">
        <v>19</v>
      </c>
      <c r="J183">
        <v>140000</v>
      </c>
      <c r="K183" t="s">
        <v>29</v>
      </c>
      <c r="L183">
        <v>100</v>
      </c>
      <c r="M183" t="s">
        <v>29</v>
      </c>
      <c r="N183" t="s">
        <v>25</v>
      </c>
      <c r="O183" t="str">
        <f>VLOOKUP(SalaryInfo[[#This Row],[company_size]],CompanySize[],2,FALSE)</f>
        <v>Medium</v>
      </c>
    </row>
    <row r="184" spans="1:15">
      <c r="A184">
        <v>587</v>
      </c>
      <c r="B184">
        <v>2022</v>
      </c>
      <c r="C184" t="str">
        <f>VLOOKUP(SalaryInfo[[#This Row],[experience_level]],Experience[],2,FALSE)</f>
        <v>Senior</v>
      </c>
      <c r="D184" t="s">
        <v>17</v>
      </c>
      <c r="E184" t="str">
        <f>VLOOKUP(SalaryInfo[[#This Row],[employment_type]],EmpType[],2,FALSE)</f>
        <v>Full Time</v>
      </c>
      <c r="F184" t="s">
        <v>12</v>
      </c>
      <c r="G184" t="s">
        <v>13</v>
      </c>
      <c r="H184">
        <v>140000</v>
      </c>
      <c r="I184" t="s">
        <v>19</v>
      </c>
      <c r="J184">
        <v>140000</v>
      </c>
      <c r="K184" t="s">
        <v>29</v>
      </c>
      <c r="L184">
        <v>100</v>
      </c>
      <c r="M184" t="s">
        <v>29</v>
      </c>
      <c r="N184" t="s">
        <v>25</v>
      </c>
      <c r="O184" t="str">
        <f>VLOOKUP(SalaryInfo[[#This Row],[company_size]],CompanySize[],2,FALSE)</f>
        <v>Medium</v>
      </c>
    </row>
    <row r="185" spans="1:15">
      <c r="A185">
        <v>365</v>
      </c>
      <c r="B185">
        <v>2022</v>
      </c>
      <c r="C185" t="str">
        <f>VLOOKUP(SalaryInfo[[#This Row],[experience_level]],Experience[],2,FALSE)</f>
        <v>Senior</v>
      </c>
      <c r="D185" t="s">
        <v>17</v>
      </c>
      <c r="E185" t="str">
        <f>VLOOKUP(SalaryInfo[[#This Row],[employment_type]],EmpType[],2,FALSE)</f>
        <v>Full Time</v>
      </c>
      <c r="F185" t="s">
        <v>12</v>
      </c>
      <c r="G185" t="s">
        <v>13</v>
      </c>
      <c r="H185">
        <v>138600</v>
      </c>
      <c r="I185" t="s">
        <v>19</v>
      </c>
      <c r="J185">
        <v>138600</v>
      </c>
      <c r="K185" t="s">
        <v>29</v>
      </c>
      <c r="L185">
        <v>100</v>
      </c>
      <c r="M185" t="s">
        <v>29</v>
      </c>
      <c r="N185" t="s">
        <v>25</v>
      </c>
      <c r="O185" t="str">
        <f>VLOOKUP(SalaryInfo[[#This Row],[company_size]],CompanySize[],2,FALSE)</f>
        <v>Medium</v>
      </c>
    </row>
    <row r="186" spans="1:15">
      <c r="A186">
        <v>59</v>
      </c>
      <c r="B186">
        <v>2020</v>
      </c>
      <c r="C186" t="str">
        <f>VLOOKUP(SalaryInfo[[#This Row],[experience_level]],Experience[],2,FALSE)</f>
        <v>Intermediate</v>
      </c>
      <c r="D186" t="s">
        <v>11</v>
      </c>
      <c r="E186" t="str">
        <f>VLOOKUP(SalaryInfo[[#This Row],[employment_type]],EmpType[],2,FALSE)</f>
        <v>Full Time</v>
      </c>
      <c r="F186" t="s">
        <v>12</v>
      </c>
      <c r="G186" t="s">
        <v>13</v>
      </c>
      <c r="H186">
        <v>138350</v>
      </c>
      <c r="I186" t="s">
        <v>19</v>
      </c>
      <c r="J186">
        <v>138350</v>
      </c>
      <c r="K186" t="s">
        <v>29</v>
      </c>
      <c r="L186">
        <v>100</v>
      </c>
      <c r="M186" t="s">
        <v>29</v>
      </c>
      <c r="N186" t="s">
        <v>25</v>
      </c>
      <c r="O186" t="str">
        <f>VLOOKUP(SalaryInfo[[#This Row],[company_size]],CompanySize[],2,FALSE)</f>
        <v>Medium</v>
      </c>
    </row>
    <row r="187" spans="1:15">
      <c r="A187">
        <v>39</v>
      </c>
      <c r="B187">
        <v>2020</v>
      </c>
      <c r="C187" t="str">
        <f>VLOOKUP(SalaryInfo[[#This Row],[experience_level]],Experience[],2,FALSE)</f>
        <v>Junior</v>
      </c>
      <c r="D187" t="s">
        <v>30</v>
      </c>
      <c r="E187" t="str">
        <f>VLOOKUP(SalaryInfo[[#This Row],[employment_type]],EmpType[],2,FALSE)</f>
        <v>Full Time</v>
      </c>
      <c r="F187" t="s">
        <v>12</v>
      </c>
      <c r="G187" t="s">
        <v>28</v>
      </c>
      <c r="H187">
        <v>138000</v>
      </c>
      <c r="I187" t="s">
        <v>19</v>
      </c>
      <c r="J187">
        <v>138000</v>
      </c>
      <c r="K187" t="s">
        <v>29</v>
      </c>
      <c r="L187">
        <v>100</v>
      </c>
      <c r="M187" t="s">
        <v>29</v>
      </c>
      <c r="N187" t="s">
        <v>21</v>
      </c>
      <c r="O187" t="str">
        <f>VLOOKUP(SalaryInfo[[#This Row],[company_size]],CompanySize[],2,FALSE)</f>
        <v>Small</v>
      </c>
    </row>
    <row r="188" spans="1:15">
      <c r="A188">
        <v>351</v>
      </c>
      <c r="B188">
        <v>2022</v>
      </c>
      <c r="C188" t="str">
        <f>VLOOKUP(SalaryInfo[[#This Row],[experience_level]],Experience[],2,FALSE)</f>
        <v>Senior</v>
      </c>
      <c r="D188" t="s">
        <v>17</v>
      </c>
      <c r="E188" t="str">
        <f>VLOOKUP(SalaryInfo[[#This Row],[employment_type]],EmpType[],2,FALSE)</f>
        <v>Full Time</v>
      </c>
      <c r="F188" t="s">
        <v>12</v>
      </c>
      <c r="G188" t="s">
        <v>79</v>
      </c>
      <c r="H188">
        <v>137141</v>
      </c>
      <c r="I188" t="s">
        <v>19</v>
      </c>
      <c r="J188">
        <v>137141</v>
      </c>
      <c r="K188" t="s">
        <v>29</v>
      </c>
      <c r="L188">
        <v>100</v>
      </c>
      <c r="M188" t="s">
        <v>29</v>
      </c>
      <c r="N188" t="s">
        <v>25</v>
      </c>
      <c r="O188" t="str">
        <f>VLOOKUP(SalaryInfo[[#This Row],[company_size]],CompanySize[],2,FALSE)</f>
        <v>Medium</v>
      </c>
    </row>
    <row r="189" spans="1:15">
      <c r="A189">
        <v>380</v>
      </c>
      <c r="B189">
        <v>2022</v>
      </c>
      <c r="C189" t="str">
        <f>VLOOKUP(SalaryInfo[[#This Row],[experience_level]],Experience[],2,FALSE)</f>
        <v>Senior</v>
      </c>
      <c r="D189" t="s">
        <v>17</v>
      </c>
      <c r="E189" t="str">
        <f>VLOOKUP(SalaryInfo[[#This Row],[employment_type]],EmpType[],2,FALSE)</f>
        <v>Full Time</v>
      </c>
      <c r="F189" t="s">
        <v>12</v>
      </c>
      <c r="G189" t="s">
        <v>43</v>
      </c>
      <c r="H189">
        <v>136994</v>
      </c>
      <c r="I189" t="s">
        <v>19</v>
      </c>
      <c r="J189">
        <v>136994</v>
      </c>
      <c r="K189" t="s">
        <v>29</v>
      </c>
      <c r="L189">
        <v>100</v>
      </c>
      <c r="M189" t="s">
        <v>29</v>
      </c>
      <c r="N189" t="s">
        <v>25</v>
      </c>
      <c r="O189" t="str">
        <f>VLOOKUP(SalaryInfo[[#This Row],[company_size]],CompanySize[],2,FALSE)</f>
        <v>Medium</v>
      </c>
    </row>
    <row r="190" spans="1:15">
      <c r="A190">
        <v>298</v>
      </c>
      <c r="B190">
        <v>2022</v>
      </c>
      <c r="C190" t="str">
        <f>VLOOKUP(SalaryInfo[[#This Row],[experience_level]],Experience[],2,FALSE)</f>
        <v>Senior</v>
      </c>
      <c r="D190" t="s">
        <v>17</v>
      </c>
      <c r="E190" t="str">
        <f>VLOOKUP(SalaryInfo[[#This Row],[employment_type]],EmpType[],2,FALSE)</f>
        <v>Full Time</v>
      </c>
      <c r="F190" t="s">
        <v>12</v>
      </c>
      <c r="G190" t="s">
        <v>13</v>
      </c>
      <c r="H190">
        <v>136620</v>
      </c>
      <c r="I190" t="s">
        <v>19</v>
      </c>
      <c r="J190">
        <v>136620</v>
      </c>
      <c r="K190" t="s">
        <v>29</v>
      </c>
      <c r="L190">
        <v>100</v>
      </c>
      <c r="M190" t="s">
        <v>29</v>
      </c>
      <c r="N190" t="s">
        <v>25</v>
      </c>
      <c r="O190" t="str">
        <f>VLOOKUP(SalaryInfo[[#This Row],[company_size]],CompanySize[],2,FALSE)</f>
        <v>Medium</v>
      </c>
    </row>
    <row r="191" spans="1:15">
      <c r="A191">
        <v>338</v>
      </c>
      <c r="B191">
        <v>2022</v>
      </c>
      <c r="C191" t="str">
        <f>VLOOKUP(SalaryInfo[[#This Row],[experience_level]],Experience[],2,FALSE)</f>
        <v>Senior</v>
      </c>
      <c r="D191" t="s">
        <v>17</v>
      </c>
      <c r="E191" t="str">
        <f>VLOOKUP(SalaryInfo[[#This Row],[employment_type]],EmpType[],2,FALSE)</f>
        <v>Full Time</v>
      </c>
      <c r="F191" t="s">
        <v>12</v>
      </c>
      <c r="G191" t="s">
        <v>31</v>
      </c>
      <c r="H191">
        <v>136600</v>
      </c>
      <c r="I191" t="s">
        <v>19</v>
      </c>
      <c r="J191">
        <v>136600</v>
      </c>
      <c r="K191" t="s">
        <v>29</v>
      </c>
      <c r="L191">
        <v>100</v>
      </c>
      <c r="M191" t="s">
        <v>29</v>
      </c>
      <c r="N191" t="s">
        <v>25</v>
      </c>
      <c r="O191" t="str">
        <f>VLOOKUP(SalaryInfo[[#This Row],[company_size]],CompanySize[],2,FALSE)</f>
        <v>Medium</v>
      </c>
    </row>
    <row r="192" spans="1:15">
      <c r="A192">
        <v>366</v>
      </c>
      <c r="B192">
        <v>2022</v>
      </c>
      <c r="C192" t="str">
        <f>VLOOKUP(SalaryInfo[[#This Row],[experience_level]],Experience[],2,FALSE)</f>
        <v>Senior</v>
      </c>
      <c r="D192" t="s">
        <v>17</v>
      </c>
      <c r="E192" t="str">
        <f>VLOOKUP(SalaryInfo[[#This Row],[employment_type]],EmpType[],2,FALSE)</f>
        <v>Full Time</v>
      </c>
      <c r="F192" t="s">
        <v>12</v>
      </c>
      <c r="G192" t="s">
        <v>43</v>
      </c>
      <c r="H192">
        <v>136000</v>
      </c>
      <c r="I192" t="s">
        <v>19</v>
      </c>
      <c r="J192">
        <v>136000</v>
      </c>
      <c r="K192" t="s">
        <v>29</v>
      </c>
      <c r="L192">
        <v>0</v>
      </c>
      <c r="M192" t="s">
        <v>29</v>
      </c>
      <c r="N192" t="s">
        <v>25</v>
      </c>
      <c r="O192" t="str">
        <f>VLOOKUP(SalaryInfo[[#This Row],[company_size]],CompanySize[],2,FALSE)</f>
        <v>Medium</v>
      </c>
    </row>
    <row r="193" spans="1:15">
      <c r="A193">
        <v>368</v>
      </c>
      <c r="B193">
        <v>2022</v>
      </c>
      <c r="C193" t="str">
        <f>VLOOKUP(SalaryInfo[[#This Row],[experience_level]],Experience[],2,FALSE)</f>
        <v>Director</v>
      </c>
      <c r="D193" t="s">
        <v>53</v>
      </c>
      <c r="E193" t="str">
        <f>VLOOKUP(SalaryInfo[[#This Row],[employment_type]],EmpType[],2,FALSE)</f>
        <v>Full Time</v>
      </c>
      <c r="F193" t="s">
        <v>12</v>
      </c>
      <c r="G193" t="s">
        <v>131</v>
      </c>
      <c r="H193">
        <v>135000</v>
      </c>
      <c r="I193" t="s">
        <v>19</v>
      </c>
      <c r="J193">
        <v>135000</v>
      </c>
      <c r="K193" t="s">
        <v>29</v>
      </c>
      <c r="L193">
        <v>100</v>
      </c>
      <c r="M193" t="s">
        <v>29</v>
      </c>
      <c r="N193" t="s">
        <v>25</v>
      </c>
      <c r="O193" t="str">
        <f>VLOOKUP(SalaryInfo[[#This Row],[company_size]],CompanySize[],2,FALSE)</f>
        <v>Medium</v>
      </c>
    </row>
    <row r="194" spans="1:15">
      <c r="A194">
        <v>228</v>
      </c>
      <c r="B194">
        <v>2021</v>
      </c>
      <c r="C194" t="str">
        <f>VLOOKUP(SalaryInfo[[#This Row],[experience_level]],Experience[],2,FALSE)</f>
        <v>Senior</v>
      </c>
      <c r="D194" t="s">
        <v>17</v>
      </c>
      <c r="E194" t="str">
        <f>VLOOKUP(SalaryInfo[[#This Row],[employment_type]],EmpType[],2,FALSE)</f>
        <v>Full Time</v>
      </c>
      <c r="F194" t="s">
        <v>12</v>
      </c>
      <c r="G194" t="s">
        <v>13</v>
      </c>
      <c r="H194">
        <v>135000</v>
      </c>
      <c r="I194" t="s">
        <v>19</v>
      </c>
      <c r="J194">
        <v>135000</v>
      </c>
      <c r="K194" t="s">
        <v>29</v>
      </c>
      <c r="L194">
        <v>0</v>
      </c>
      <c r="M194" t="s">
        <v>29</v>
      </c>
      <c r="N194" t="s">
        <v>16</v>
      </c>
      <c r="O194" t="str">
        <f>VLOOKUP(SalaryInfo[[#This Row],[company_size]],CompanySize[],2,FALSE)</f>
        <v>Large</v>
      </c>
    </row>
    <row r="195" spans="1:15">
      <c r="A195">
        <v>289</v>
      </c>
      <c r="B195">
        <v>2022</v>
      </c>
      <c r="C195" t="str">
        <f>VLOOKUP(SalaryInfo[[#This Row],[experience_level]],Experience[],2,FALSE)</f>
        <v>Senior</v>
      </c>
      <c r="D195" t="s">
        <v>17</v>
      </c>
      <c r="E195" t="str">
        <f>VLOOKUP(SalaryInfo[[#This Row],[employment_type]],EmpType[],2,FALSE)</f>
        <v>Full Time</v>
      </c>
      <c r="F195" t="s">
        <v>12</v>
      </c>
      <c r="G195" t="s">
        <v>43</v>
      </c>
      <c r="H195">
        <v>135000</v>
      </c>
      <c r="I195" t="s">
        <v>19</v>
      </c>
      <c r="J195">
        <v>135000</v>
      </c>
      <c r="K195" t="s">
        <v>29</v>
      </c>
      <c r="L195">
        <v>100</v>
      </c>
      <c r="M195" t="s">
        <v>29</v>
      </c>
      <c r="N195" t="s">
        <v>25</v>
      </c>
      <c r="O195" t="str">
        <f>VLOOKUP(SalaryInfo[[#This Row],[company_size]],CompanySize[],2,FALSE)</f>
        <v>Medium</v>
      </c>
    </row>
    <row r="196" spans="1:15">
      <c r="A196">
        <v>349</v>
      </c>
      <c r="B196">
        <v>2022</v>
      </c>
      <c r="C196" t="str">
        <f>VLOOKUP(SalaryInfo[[#This Row],[experience_level]],Experience[],2,FALSE)</f>
        <v>Senior</v>
      </c>
      <c r="D196" t="s">
        <v>17</v>
      </c>
      <c r="E196" t="str">
        <f>VLOOKUP(SalaryInfo[[#This Row],[employment_type]],EmpType[],2,FALSE)</f>
        <v>Full Time</v>
      </c>
      <c r="F196" t="s">
        <v>12</v>
      </c>
      <c r="G196" t="s">
        <v>31</v>
      </c>
      <c r="H196">
        <v>135000</v>
      </c>
      <c r="I196" t="s">
        <v>19</v>
      </c>
      <c r="J196">
        <v>135000</v>
      </c>
      <c r="K196" t="s">
        <v>29</v>
      </c>
      <c r="L196">
        <v>100</v>
      </c>
      <c r="M196" t="s">
        <v>29</v>
      </c>
      <c r="N196" t="s">
        <v>25</v>
      </c>
      <c r="O196" t="str">
        <f>VLOOKUP(SalaryInfo[[#This Row],[company_size]],CompanySize[],2,FALSE)</f>
        <v>Medium</v>
      </c>
    </row>
    <row r="197" spans="1:15">
      <c r="A197">
        <v>8</v>
      </c>
      <c r="B197">
        <v>2020</v>
      </c>
      <c r="C197" t="str">
        <f>VLOOKUP(SalaryInfo[[#This Row],[experience_level]],Experience[],2,FALSE)</f>
        <v>Intermediate</v>
      </c>
      <c r="D197" t="s">
        <v>11</v>
      </c>
      <c r="E197" t="str">
        <f>VLOOKUP(SalaryInfo[[#This Row],[employment_type]],EmpType[],2,FALSE)</f>
        <v>Full Time</v>
      </c>
      <c r="F197" t="s">
        <v>12</v>
      </c>
      <c r="G197" t="s">
        <v>35</v>
      </c>
      <c r="H197">
        <v>135000</v>
      </c>
      <c r="I197" t="s">
        <v>19</v>
      </c>
      <c r="J197">
        <v>135000</v>
      </c>
      <c r="K197" t="s">
        <v>29</v>
      </c>
      <c r="L197">
        <v>100</v>
      </c>
      <c r="M197" t="s">
        <v>29</v>
      </c>
      <c r="N197" t="s">
        <v>16</v>
      </c>
      <c r="O197" t="str">
        <f>VLOOKUP(SalaryInfo[[#This Row],[company_size]],CompanySize[],2,FALSE)</f>
        <v>Large</v>
      </c>
    </row>
    <row r="198" spans="1:15">
      <c r="A198">
        <v>140</v>
      </c>
      <c r="B198">
        <v>2021</v>
      </c>
      <c r="C198" t="str">
        <f>VLOOKUP(SalaryInfo[[#This Row],[experience_level]],Experience[],2,FALSE)</f>
        <v>Intermediate</v>
      </c>
      <c r="D198" t="s">
        <v>11</v>
      </c>
      <c r="E198" t="str">
        <f>VLOOKUP(SalaryInfo[[#This Row],[employment_type]],EmpType[],2,FALSE)</f>
        <v>Full Time</v>
      </c>
      <c r="F198" t="s">
        <v>12</v>
      </c>
      <c r="G198" t="s">
        <v>31</v>
      </c>
      <c r="H198">
        <v>135000</v>
      </c>
      <c r="I198" t="s">
        <v>19</v>
      </c>
      <c r="J198">
        <v>135000</v>
      </c>
      <c r="K198" t="s">
        <v>29</v>
      </c>
      <c r="L198">
        <v>100</v>
      </c>
      <c r="M198" t="s">
        <v>29</v>
      </c>
      <c r="N198" t="s">
        <v>16</v>
      </c>
      <c r="O198" t="str">
        <f>VLOOKUP(SalaryInfo[[#This Row],[company_size]],CompanySize[],2,FALSE)</f>
        <v>Large</v>
      </c>
    </row>
    <row r="199" spans="1:15">
      <c r="A199">
        <v>470</v>
      </c>
      <c r="B199">
        <v>2022</v>
      </c>
      <c r="C199" t="str">
        <f>VLOOKUP(SalaryInfo[[#This Row],[experience_level]],Experience[],2,FALSE)</f>
        <v>Intermediate</v>
      </c>
      <c r="D199" t="s">
        <v>11</v>
      </c>
      <c r="E199" t="str">
        <f>VLOOKUP(SalaryInfo[[#This Row],[employment_type]],EmpType[],2,FALSE)</f>
        <v>Full Time</v>
      </c>
      <c r="F199" t="s">
        <v>12</v>
      </c>
      <c r="G199" t="s">
        <v>31</v>
      </c>
      <c r="H199">
        <v>135000</v>
      </c>
      <c r="I199" t="s">
        <v>19</v>
      </c>
      <c r="J199">
        <v>135000</v>
      </c>
      <c r="K199" t="s">
        <v>29</v>
      </c>
      <c r="L199">
        <v>100</v>
      </c>
      <c r="M199" t="s">
        <v>29</v>
      </c>
      <c r="N199" t="s">
        <v>25</v>
      </c>
      <c r="O199" t="str">
        <f>VLOOKUP(SalaryInfo[[#This Row],[company_size]],CompanySize[],2,FALSE)</f>
        <v>Medium</v>
      </c>
    </row>
    <row r="200" spans="1:15">
      <c r="A200">
        <v>524</v>
      </c>
      <c r="B200">
        <v>2022</v>
      </c>
      <c r="C200" t="str">
        <f>VLOOKUP(SalaryInfo[[#This Row],[experience_level]],Experience[],2,FALSE)</f>
        <v>Intermediate</v>
      </c>
      <c r="D200" t="s">
        <v>11</v>
      </c>
      <c r="E200" t="str">
        <f>VLOOKUP(SalaryInfo[[#This Row],[employment_type]],EmpType[],2,FALSE)</f>
        <v>Full Time</v>
      </c>
      <c r="F200" t="s">
        <v>12</v>
      </c>
      <c r="G200" t="s">
        <v>13</v>
      </c>
      <c r="H200">
        <v>135000</v>
      </c>
      <c r="I200" t="s">
        <v>19</v>
      </c>
      <c r="J200">
        <v>135000</v>
      </c>
      <c r="K200" t="s">
        <v>29</v>
      </c>
      <c r="L200">
        <v>100</v>
      </c>
      <c r="M200" t="s">
        <v>29</v>
      </c>
      <c r="N200" t="s">
        <v>16</v>
      </c>
      <c r="O200" t="str">
        <f>VLOOKUP(SalaryInfo[[#This Row],[company_size]],CompanySize[],2,FALSE)</f>
        <v>Large</v>
      </c>
    </row>
    <row r="201" spans="1:15">
      <c r="A201">
        <v>527</v>
      </c>
      <c r="B201">
        <v>2022</v>
      </c>
      <c r="C201" t="str">
        <f>VLOOKUP(SalaryInfo[[#This Row],[experience_level]],Experience[],2,FALSE)</f>
        <v>Senior</v>
      </c>
      <c r="D201" t="s">
        <v>17</v>
      </c>
      <c r="E201" t="str">
        <f>VLOOKUP(SalaryInfo[[#This Row],[employment_type]],EmpType[],2,FALSE)</f>
        <v>Full Time</v>
      </c>
      <c r="F201" t="s">
        <v>12</v>
      </c>
      <c r="G201" t="s">
        <v>31</v>
      </c>
      <c r="H201">
        <v>135000</v>
      </c>
      <c r="I201" t="s">
        <v>19</v>
      </c>
      <c r="J201">
        <v>135000</v>
      </c>
      <c r="K201" t="s">
        <v>29</v>
      </c>
      <c r="L201">
        <v>100</v>
      </c>
      <c r="M201" t="s">
        <v>29</v>
      </c>
      <c r="N201" t="s">
        <v>25</v>
      </c>
      <c r="O201" t="str">
        <f>VLOOKUP(SalaryInfo[[#This Row],[company_size]],CompanySize[],2,FALSE)</f>
        <v>Medium</v>
      </c>
    </row>
    <row r="202" spans="1:15">
      <c r="A202">
        <v>320</v>
      </c>
      <c r="B202">
        <v>2022</v>
      </c>
      <c r="C202" t="str">
        <f>VLOOKUP(SalaryInfo[[#This Row],[experience_level]],Experience[],2,FALSE)</f>
        <v>Senior</v>
      </c>
      <c r="D202" t="s">
        <v>17</v>
      </c>
      <c r="E202" t="str">
        <f>VLOOKUP(SalaryInfo[[#This Row],[employment_type]],EmpType[],2,FALSE)</f>
        <v>Full Time</v>
      </c>
      <c r="F202" t="s">
        <v>12</v>
      </c>
      <c r="G202" t="s">
        <v>43</v>
      </c>
      <c r="H202">
        <v>132320</v>
      </c>
      <c r="I202" t="s">
        <v>19</v>
      </c>
      <c r="J202">
        <v>132320</v>
      </c>
      <c r="K202" t="s">
        <v>29</v>
      </c>
      <c r="L202">
        <v>0</v>
      </c>
      <c r="M202" t="s">
        <v>29</v>
      </c>
      <c r="N202" t="s">
        <v>25</v>
      </c>
      <c r="O202" t="str">
        <f>VLOOKUP(SalaryInfo[[#This Row],[company_size]],CompanySize[],2,FALSE)</f>
        <v>Medium</v>
      </c>
    </row>
    <row r="203" spans="1:15">
      <c r="A203">
        <v>335</v>
      </c>
      <c r="B203">
        <v>2022</v>
      </c>
      <c r="C203" t="str">
        <f>VLOOKUP(SalaryInfo[[#This Row],[experience_level]],Experience[],2,FALSE)</f>
        <v>Senior</v>
      </c>
      <c r="D203" t="s">
        <v>17</v>
      </c>
      <c r="E203" t="str">
        <f>VLOOKUP(SalaryInfo[[#This Row],[employment_type]],EmpType[],2,FALSE)</f>
        <v>Full Time</v>
      </c>
      <c r="F203" t="s">
        <v>12</v>
      </c>
      <c r="G203" t="s">
        <v>43</v>
      </c>
      <c r="H203">
        <v>132320</v>
      </c>
      <c r="I203" t="s">
        <v>19</v>
      </c>
      <c r="J203">
        <v>132320</v>
      </c>
      <c r="K203" t="s">
        <v>29</v>
      </c>
      <c r="L203">
        <v>100</v>
      </c>
      <c r="M203" t="s">
        <v>29</v>
      </c>
      <c r="N203" t="s">
        <v>25</v>
      </c>
      <c r="O203" t="str">
        <f>VLOOKUP(SalaryInfo[[#This Row],[company_size]],CompanySize[],2,FALSE)</f>
        <v>Medium</v>
      </c>
    </row>
    <row r="204" spans="1:15">
      <c r="A204">
        <v>385</v>
      </c>
      <c r="B204">
        <v>2022</v>
      </c>
      <c r="C204" t="str">
        <f>VLOOKUP(SalaryInfo[[#This Row],[experience_level]],Experience[],2,FALSE)</f>
        <v>Senior</v>
      </c>
      <c r="D204" t="s">
        <v>17</v>
      </c>
      <c r="E204" t="str">
        <f>VLOOKUP(SalaryInfo[[#This Row],[employment_type]],EmpType[],2,FALSE)</f>
        <v>Full Time</v>
      </c>
      <c r="F204" t="s">
        <v>12</v>
      </c>
      <c r="G204" t="s">
        <v>43</v>
      </c>
      <c r="H204">
        <v>132320</v>
      </c>
      <c r="I204" t="s">
        <v>19</v>
      </c>
      <c r="J204">
        <v>132320</v>
      </c>
      <c r="K204" t="s">
        <v>29</v>
      </c>
      <c r="L204">
        <v>100</v>
      </c>
      <c r="M204" t="s">
        <v>29</v>
      </c>
      <c r="N204" t="s">
        <v>25</v>
      </c>
      <c r="O204" t="str">
        <f>VLOOKUP(SalaryInfo[[#This Row],[company_size]],CompanySize[],2,FALSE)</f>
        <v>Medium</v>
      </c>
    </row>
    <row r="205" spans="1:15">
      <c r="A205">
        <v>376</v>
      </c>
      <c r="B205">
        <v>2022</v>
      </c>
      <c r="C205" t="str">
        <f>VLOOKUP(SalaryInfo[[#This Row],[experience_level]],Experience[],2,FALSE)</f>
        <v>Senior</v>
      </c>
      <c r="D205" t="s">
        <v>17</v>
      </c>
      <c r="E205" t="str">
        <f>VLOOKUP(SalaryInfo[[#This Row],[employment_type]],EmpType[],2,FALSE)</f>
        <v>Full Time</v>
      </c>
      <c r="F205" t="s">
        <v>12</v>
      </c>
      <c r="G205" t="s">
        <v>31</v>
      </c>
      <c r="H205">
        <v>132000</v>
      </c>
      <c r="I205" t="s">
        <v>19</v>
      </c>
      <c r="J205">
        <v>132000</v>
      </c>
      <c r="K205" t="s">
        <v>29</v>
      </c>
      <c r="L205">
        <v>0</v>
      </c>
      <c r="M205" t="s">
        <v>29</v>
      </c>
      <c r="N205" t="s">
        <v>25</v>
      </c>
      <c r="O205" t="str">
        <f>VLOOKUP(SalaryInfo[[#This Row],[company_size]],CompanySize[],2,FALSE)</f>
        <v>Medium</v>
      </c>
    </row>
    <row r="206" spans="1:15">
      <c r="A206">
        <v>61</v>
      </c>
      <c r="B206">
        <v>2020</v>
      </c>
      <c r="C206" t="str">
        <f>VLOOKUP(SalaryInfo[[#This Row],[experience_level]],Experience[],2,FALSE)</f>
        <v>Intermediate</v>
      </c>
      <c r="D206" t="s">
        <v>11</v>
      </c>
      <c r="E206" t="str">
        <f>VLOOKUP(SalaryInfo[[#This Row],[employment_type]],EmpType[],2,FALSE)</f>
        <v>Full Time</v>
      </c>
      <c r="F206" t="s">
        <v>12</v>
      </c>
      <c r="G206" t="s">
        <v>43</v>
      </c>
      <c r="H206">
        <v>130800</v>
      </c>
      <c r="I206" t="s">
        <v>19</v>
      </c>
      <c r="J206">
        <v>130800</v>
      </c>
      <c r="K206" t="s">
        <v>67</v>
      </c>
      <c r="L206">
        <v>100</v>
      </c>
      <c r="M206" t="s">
        <v>29</v>
      </c>
      <c r="N206" t="s">
        <v>25</v>
      </c>
      <c r="O206" t="str">
        <f>VLOOKUP(SalaryInfo[[#This Row],[company_size]],CompanySize[],2,FALSE)</f>
        <v>Medium</v>
      </c>
    </row>
    <row r="207" spans="1:15">
      <c r="A207">
        <v>164</v>
      </c>
      <c r="B207">
        <v>2021</v>
      </c>
      <c r="C207" t="str">
        <f>VLOOKUP(SalaryInfo[[#This Row],[experience_level]],Experience[],2,FALSE)</f>
        <v>Director</v>
      </c>
      <c r="D207" t="s">
        <v>53</v>
      </c>
      <c r="E207" t="str">
        <f>VLOOKUP(SalaryInfo[[#This Row],[employment_type]],EmpType[],2,FALSE)</f>
        <v>Full Time</v>
      </c>
      <c r="F207" t="s">
        <v>12</v>
      </c>
      <c r="G207" t="s">
        <v>54</v>
      </c>
      <c r="H207">
        <v>110000</v>
      </c>
      <c r="I207" t="s">
        <v>14</v>
      </c>
      <c r="J207">
        <v>130026</v>
      </c>
      <c r="K207" t="s">
        <v>15</v>
      </c>
      <c r="L207">
        <v>50</v>
      </c>
      <c r="M207" t="s">
        <v>15</v>
      </c>
      <c r="N207" t="s">
        <v>25</v>
      </c>
      <c r="O207" t="str">
        <f>VLOOKUP(SalaryInfo[[#This Row],[company_size]],CompanySize[],2,FALSE)</f>
        <v>Medium</v>
      </c>
    </row>
    <row r="208" spans="1:15">
      <c r="A208">
        <v>326</v>
      </c>
      <c r="B208">
        <v>2022</v>
      </c>
      <c r="C208" t="str">
        <f>VLOOKUP(SalaryInfo[[#This Row],[experience_level]],Experience[],2,FALSE)</f>
        <v>Director</v>
      </c>
      <c r="D208" t="s">
        <v>53</v>
      </c>
      <c r="E208" t="str">
        <f>VLOOKUP(SalaryInfo[[#This Row],[employment_type]],EmpType[],2,FALSE)</f>
        <v>Full Time</v>
      </c>
      <c r="F208" t="s">
        <v>12</v>
      </c>
      <c r="G208" t="s">
        <v>31</v>
      </c>
      <c r="H208">
        <v>130000</v>
      </c>
      <c r="I208" t="s">
        <v>19</v>
      </c>
      <c r="J208">
        <v>130000</v>
      </c>
      <c r="K208" t="s">
        <v>29</v>
      </c>
      <c r="L208">
        <v>100</v>
      </c>
      <c r="M208" t="s">
        <v>29</v>
      </c>
      <c r="N208" t="s">
        <v>25</v>
      </c>
      <c r="O208" t="str">
        <f>VLOOKUP(SalaryInfo[[#This Row],[company_size]],CompanySize[],2,FALSE)</f>
        <v>Medium</v>
      </c>
    </row>
    <row r="209" spans="1:15">
      <c r="A209">
        <v>360</v>
      </c>
      <c r="B209">
        <v>2022</v>
      </c>
      <c r="C209" t="str">
        <f>VLOOKUP(SalaryInfo[[#This Row],[experience_level]],Experience[],2,FALSE)</f>
        <v>Senior</v>
      </c>
      <c r="D209" t="s">
        <v>17</v>
      </c>
      <c r="E209" t="str">
        <f>VLOOKUP(SalaryInfo[[#This Row],[employment_type]],EmpType[],2,FALSE)</f>
        <v>Full Time</v>
      </c>
      <c r="F209" t="s">
        <v>12</v>
      </c>
      <c r="G209" t="s">
        <v>31</v>
      </c>
      <c r="H209">
        <v>130000</v>
      </c>
      <c r="I209" t="s">
        <v>19</v>
      </c>
      <c r="J209">
        <v>130000</v>
      </c>
      <c r="K209" t="s">
        <v>62</v>
      </c>
      <c r="L209">
        <v>100</v>
      </c>
      <c r="M209" t="s">
        <v>62</v>
      </c>
      <c r="N209" t="s">
        <v>25</v>
      </c>
      <c r="O209" t="str">
        <f>VLOOKUP(SalaryInfo[[#This Row],[company_size]],CompanySize[],2,FALSE)</f>
        <v>Medium</v>
      </c>
    </row>
    <row r="210" spans="1:15">
      <c r="A210">
        <v>362</v>
      </c>
      <c r="B210">
        <v>2022</v>
      </c>
      <c r="C210" t="str">
        <f>VLOOKUP(SalaryInfo[[#This Row],[experience_level]],Experience[],2,FALSE)</f>
        <v>Senior</v>
      </c>
      <c r="D210" t="s">
        <v>17</v>
      </c>
      <c r="E210" t="str">
        <f>VLOOKUP(SalaryInfo[[#This Row],[employment_type]],EmpType[],2,FALSE)</f>
        <v>Full Time</v>
      </c>
      <c r="F210" t="s">
        <v>12</v>
      </c>
      <c r="G210" t="s">
        <v>31</v>
      </c>
      <c r="H210">
        <v>130000</v>
      </c>
      <c r="I210" t="s">
        <v>19</v>
      </c>
      <c r="J210">
        <v>130000</v>
      </c>
      <c r="K210" t="s">
        <v>62</v>
      </c>
      <c r="L210">
        <v>100</v>
      </c>
      <c r="M210" t="s">
        <v>62</v>
      </c>
      <c r="N210" t="s">
        <v>25</v>
      </c>
      <c r="O210" t="str">
        <f>VLOOKUP(SalaryInfo[[#This Row],[company_size]],CompanySize[],2,FALSE)</f>
        <v>Medium</v>
      </c>
    </row>
    <row r="211" spans="1:15">
      <c r="A211">
        <v>260</v>
      </c>
      <c r="B211">
        <v>2021</v>
      </c>
      <c r="C211" t="str">
        <f>VLOOKUP(SalaryInfo[[#This Row],[experience_level]],Experience[],2,FALSE)</f>
        <v>Intermediate</v>
      </c>
      <c r="D211" t="s">
        <v>11</v>
      </c>
      <c r="E211" t="str">
        <f>VLOOKUP(SalaryInfo[[#This Row],[employment_type]],EmpType[],2,FALSE)</f>
        <v>Full Time</v>
      </c>
      <c r="F211" t="s">
        <v>12</v>
      </c>
      <c r="G211" t="s">
        <v>13</v>
      </c>
      <c r="H211">
        <v>130000</v>
      </c>
      <c r="I211" t="s">
        <v>19</v>
      </c>
      <c r="J211">
        <v>130000</v>
      </c>
      <c r="K211" t="s">
        <v>29</v>
      </c>
      <c r="L211">
        <v>50</v>
      </c>
      <c r="M211" t="s">
        <v>29</v>
      </c>
      <c r="N211" t="s">
        <v>16</v>
      </c>
      <c r="O211" t="str">
        <f>VLOOKUP(SalaryInfo[[#This Row],[company_size]],CompanySize[],2,FALSE)</f>
        <v>Large</v>
      </c>
    </row>
    <row r="212" spans="1:15">
      <c r="A212">
        <v>292</v>
      </c>
      <c r="B212">
        <v>2022</v>
      </c>
      <c r="C212" t="str">
        <f>VLOOKUP(SalaryInfo[[#This Row],[experience_level]],Experience[],2,FALSE)</f>
        <v>Intermediate</v>
      </c>
      <c r="D212" t="s">
        <v>11</v>
      </c>
      <c r="E212" t="str">
        <f>VLOOKUP(SalaryInfo[[#This Row],[employment_type]],EmpType[],2,FALSE)</f>
        <v>Full Time</v>
      </c>
      <c r="F212" t="s">
        <v>12</v>
      </c>
      <c r="G212" t="s">
        <v>13</v>
      </c>
      <c r="H212">
        <v>130000</v>
      </c>
      <c r="I212" t="s">
        <v>19</v>
      </c>
      <c r="J212">
        <v>130000</v>
      </c>
      <c r="K212" t="s">
        <v>29</v>
      </c>
      <c r="L212">
        <v>0</v>
      </c>
      <c r="M212" t="s">
        <v>29</v>
      </c>
      <c r="N212" t="s">
        <v>25</v>
      </c>
      <c r="O212" t="str">
        <f>VLOOKUP(SalaryInfo[[#This Row],[company_size]],CompanySize[],2,FALSE)</f>
        <v>Medium</v>
      </c>
    </row>
    <row r="213" spans="1:15">
      <c r="A213">
        <v>599</v>
      </c>
      <c r="B213">
        <v>2022</v>
      </c>
      <c r="C213" t="str">
        <f>VLOOKUP(SalaryInfo[[#This Row],[experience_level]],Experience[],2,FALSE)</f>
        <v>Intermediate</v>
      </c>
      <c r="D213" t="s">
        <v>11</v>
      </c>
      <c r="E213" t="str">
        <f>VLOOKUP(SalaryInfo[[#This Row],[employment_type]],EmpType[],2,FALSE)</f>
        <v>Full Time</v>
      </c>
      <c r="F213" t="s">
        <v>12</v>
      </c>
      <c r="G213" t="s">
        <v>13</v>
      </c>
      <c r="H213">
        <v>130000</v>
      </c>
      <c r="I213" t="s">
        <v>19</v>
      </c>
      <c r="J213">
        <v>130000</v>
      </c>
      <c r="K213" t="s">
        <v>29</v>
      </c>
      <c r="L213">
        <v>100</v>
      </c>
      <c r="M213" t="s">
        <v>29</v>
      </c>
      <c r="N213" t="s">
        <v>25</v>
      </c>
      <c r="O213" t="str">
        <f>VLOOKUP(SalaryInfo[[#This Row],[company_size]],CompanySize[],2,FALSE)</f>
        <v>Medium</v>
      </c>
    </row>
    <row r="214" spans="1:15">
      <c r="A214">
        <v>544</v>
      </c>
      <c r="B214">
        <v>2022</v>
      </c>
      <c r="C214" t="str">
        <f>VLOOKUP(SalaryInfo[[#This Row],[experience_level]],Experience[],2,FALSE)</f>
        <v>Senior</v>
      </c>
      <c r="D214" t="s">
        <v>17</v>
      </c>
      <c r="E214" t="str">
        <f>VLOOKUP(SalaryInfo[[#This Row],[employment_type]],EmpType[],2,FALSE)</f>
        <v>Full Time</v>
      </c>
      <c r="F214" t="s">
        <v>12</v>
      </c>
      <c r="G214" t="s">
        <v>43</v>
      </c>
      <c r="H214">
        <v>130000</v>
      </c>
      <c r="I214" t="s">
        <v>19</v>
      </c>
      <c r="J214">
        <v>130000</v>
      </c>
      <c r="K214" t="s">
        <v>29</v>
      </c>
      <c r="L214">
        <v>100</v>
      </c>
      <c r="M214" t="s">
        <v>29</v>
      </c>
      <c r="N214" t="s">
        <v>25</v>
      </c>
      <c r="O214" t="str">
        <f>VLOOKUP(SalaryInfo[[#This Row],[company_size]],CompanySize[],2,FALSE)</f>
        <v>Medium</v>
      </c>
    </row>
    <row r="215" spans="1:15">
      <c r="A215">
        <v>547</v>
      </c>
      <c r="B215">
        <v>2022</v>
      </c>
      <c r="C215" t="str">
        <f>VLOOKUP(SalaryInfo[[#This Row],[experience_level]],Experience[],2,FALSE)</f>
        <v>Senior</v>
      </c>
      <c r="D215" t="s">
        <v>17</v>
      </c>
      <c r="E215" t="str">
        <f>VLOOKUP(SalaryInfo[[#This Row],[employment_type]],EmpType[],2,FALSE)</f>
        <v>Full Time</v>
      </c>
      <c r="F215" t="s">
        <v>12</v>
      </c>
      <c r="G215" t="s">
        <v>43</v>
      </c>
      <c r="H215">
        <v>130000</v>
      </c>
      <c r="I215" t="s">
        <v>19</v>
      </c>
      <c r="J215">
        <v>130000</v>
      </c>
      <c r="K215" t="s">
        <v>29</v>
      </c>
      <c r="L215">
        <v>100</v>
      </c>
      <c r="M215" t="s">
        <v>29</v>
      </c>
      <c r="N215" t="s">
        <v>25</v>
      </c>
      <c r="O215" t="str">
        <f>VLOOKUP(SalaryInfo[[#This Row],[company_size]],CompanySize[],2,FALSE)</f>
        <v>Medium</v>
      </c>
    </row>
    <row r="216" spans="1:15">
      <c r="A216">
        <v>604</v>
      </c>
      <c r="B216">
        <v>2022</v>
      </c>
      <c r="C216" t="str">
        <f>VLOOKUP(SalaryInfo[[#This Row],[experience_level]],Experience[],2,FALSE)</f>
        <v>Senior</v>
      </c>
      <c r="D216" t="s">
        <v>17</v>
      </c>
      <c r="E216" t="str">
        <f>VLOOKUP(SalaryInfo[[#This Row],[employment_type]],EmpType[],2,FALSE)</f>
        <v>Full Time</v>
      </c>
      <c r="F216" t="s">
        <v>12</v>
      </c>
      <c r="G216" t="s">
        <v>31</v>
      </c>
      <c r="H216">
        <v>129000</v>
      </c>
      <c r="I216" t="s">
        <v>19</v>
      </c>
      <c r="J216">
        <v>129000</v>
      </c>
      <c r="K216" t="s">
        <v>29</v>
      </c>
      <c r="L216">
        <v>0</v>
      </c>
      <c r="M216" t="s">
        <v>29</v>
      </c>
      <c r="N216" t="s">
        <v>25</v>
      </c>
      <c r="O216" t="str">
        <f>VLOOKUP(SalaryInfo[[#This Row],[company_size]],CompanySize[],2,FALSE)</f>
        <v>Medium</v>
      </c>
    </row>
    <row r="217" spans="1:15">
      <c r="A217">
        <v>340</v>
      </c>
      <c r="B217">
        <v>2022</v>
      </c>
      <c r="C217" t="str">
        <f>VLOOKUP(SalaryInfo[[#This Row],[experience_level]],Experience[],2,FALSE)</f>
        <v>Senior</v>
      </c>
      <c r="D217" t="s">
        <v>17</v>
      </c>
      <c r="E217" t="str">
        <f>VLOOKUP(SalaryInfo[[#This Row],[employment_type]],EmpType[],2,FALSE)</f>
        <v>Full Time</v>
      </c>
      <c r="F217" t="s">
        <v>12</v>
      </c>
      <c r="G217" t="s">
        <v>43</v>
      </c>
      <c r="H217">
        <v>128875</v>
      </c>
      <c r="I217" t="s">
        <v>19</v>
      </c>
      <c r="J217">
        <v>128875</v>
      </c>
      <c r="K217" t="s">
        <v>29</v>
      </c>
      <c r="L217">
        <v>100</v>
      </c>
      <c r="M217" t="s">
        <v>29</v>
      </c>
      <c r="N217" t="s">
        <v>25</v>
      </c>
      <c r="O217" t="str">
        <f>VLOOKUP(SalaryInfo[[#This Row],[company_size]],CompanySize[],2,FALSE)</f>
        <v>Medium</v>
      </c>
    </row>
    <row r="218" spans="1:15">
      <c r="A218">
        <v>382</v>
      </c>
      <c r="B218">
        <v>2022</v>
      </c>
      <c r="C218" t="str">
        <f>VLOOKUP(SalaryInfo[[#This Row],[experience_level]],Experience[],2,FALSE)</f>
        <v>Senior</v>
      </c>
      <c r="D218" t="s">
        <v>17</v>
      </c>
      <c r="E218" t="str">
        <f>VLOOKUP(SalaryInfo[[#This Row],[employment_type]],EmpType[],2,FALSE)</f>
        <v>Full Time</v>
      </c>
      <c r="F218" t="s">
        <v>12</v>
      </c>
      <c r="G218" t="s">
        <v>31</v>
      </c>
      <c r="H218">
        <v>128875</v>
      </c>
      <c r="I218" t="s">
        <v>19</v>
      </c>
      <c r="J218">
        <v>128875</v>
      </c>
      <c r="K218" t="s">
        <v>29</v>
      </c>
      <c r="L218">
        <v>100</v>
      </c>
      <c r="M218" t="s">
        <v>29</v>
      </c>
      <c r="N218" t="s">
        <v>25</v>
      </c>
      <c r="O218" t="str">
        <f>VLOOKUP(SalaryInfo[[#This Row],[company_size]],CompanySize[],2,FALSE)</f>
        <v>Medium</v>
      </c>
    </row>
    <row r="219" spans="1:15">
      <c r="A219">
        <v>155</v>
      </c>
      <c r="B219">
        <v>2021</v>
      </c>
      <c r="C219" t="str">
        <f>VLOOKUP(SalaryInfo[[#This Row],[experience_level]],Experience[],2,FALSE)</f>
        <v>Senior</v>
      </c>
      <c r="D219" t="s">
        <v>17</v>
      </c>
      <c r="E219" t="str">
        <f>VLOOKUP(SalaryInfo[[#This Row],[employment_type]],EmpType[],2,FALSE)</f>
        <v>Full Time</v>
      </c>
      <c r="F219" t="s">
        <v>12</v>
      </c>
      <c r="G219" t="s">
        <v>95</v>
      </c>
      <c r="H219">
        <v>159500</v>
      </c>
      <c r="I219" t="s">
        <v>61</v>
      </c>
      <c r="J219">
        <v>127221</v>
      </c>
      <c r="K219" t="s">
        <v>62</v>
      </c>
      <c r="L219">
        <v>50</v>
      </c>
      <c r="M219" t="s">
        <v>62</v>
      </c>
      <c r="N219" t="s">
        <v>16</v>
      </c>
      <c r="O219" t="str">
        <f>VLOOKUP(SalaryInfo[[#This Row],[company_size]],CompanySize[],2,FALSE)</f>
        <v>Large</v>
      </c>
    </row>
    <row r="220" spans="1:15">
      <c r="A220">
        <v>308</v>
      </c>
      <c r="B220">
        <v>2022</v>
      </c>
      <c r="C220" t="str">
        <f>VLOOKUP(SalaryInfo[[#This Row],[experience_level]],Experience[],2,FALSE)</f>
        <v>Intermediate</v>
      </c>
      <c r="D220" t="s">
        <v>11</v>
      </c>
      <c r="E220" t="str">
        <f>VLOOKUP(SalaryInfo[[#This Row],[employment_type]],EmpType[],2,FALSE)</f>
        <v>Full Time</v>
      </c>
      <c r="F220" t="s">
        <v>12</v>
      </c>
      <c r="G220" t="s">
        <v>31</v>
      </c>
      <c r="H220">
        <v>126500</v>
      </c>
      <c r="I220" t="s">
        <v>19</v>
      </c>
      <c r="J220">
        <v>126500</v>
      </c>
      <c r="K220" t="s">
        <v>29</v>
      </c>
      <c r="L220">
        <v>0</v>
      </c>
      <c r="M220" t="s">
        <v>29</v>
      </c>
      <c r="N220" t="s">
        <v>25</v>
      </c>
      <c r="O220" t="str">
        <f>VLOOKUP(SalaryInfo[[#This Row],[company_size]],CompanySize[],2,FALSE)</f>
        <v>Medium</v>
      </c>
    </row>
    <row r="221" spans="1:15">
      <c r="A221">
        <v>580</v>
      </c>
      <c r="B221">
        <v>2022</v>
      </c>
      <c r="C221" t="str">
        <f>VLOOKUP(SalaryInfo[[#This Row],[experience_level]],Experience[],2,FALSE)</f>
        <v>Senior</v>
      </c>
      <c r="D221" t="s">
        <v>17</v>
      </c>
      <c r="E221" t="str">
        <f>VLOOKUP(SalaryInfo[[#This Row],[employment_type]],EmpType[],2,FALSE)</f>
        <v>Full Time</v>
      </c>
      <c r="F221" t="s">
        <v>12</v>
      </c>
      <c r="G221" t="s">
        <v>31</v>
      </c>
      <c r="H221">
        <v>126500</v>
      </c>
      <c r="I221" t="s">
        <v>19</v>
      </c>
      <c r="J221">
        <v>126500</v>
      </c>
      <c r="K221" t="s">
        <v>29</v>
      </c>
      <c r="L221">
        <v>100</v>
      </c>
      <c r="M221" t="s">
        <v>29</v>
      </c>
      <c r="N221" t="s">
        <v>25</v>
      </c>
      <c r="O221" t="str">
        <f>VLOOKUP(SalaryInfo[[#This Row],[company_size]],CompanySize[],2,FALSE)</f>
        <v>Medium</v>
      </c>
    </row>
    <row r="222" spans="1:15">
      <c r="A222">
        <v>603</v>
      </c>
      <c r="B222">
        <v>2022</v>
      </c>
      <c r="C222" t="str">
        <f>VLOOKUP(SalaryInfo[[#This Row],[experience_level]],Experience[],2,FALSE)</f>
        <v>Senior</v>
      </c>
      <c r="D222" t="s">
        <v>17</v>
      </c>
      <c r="E222" t="str">
        <f>VLOOKUP(SalaryInfo[[#This Row],[employment_type]],EmpType[],2,FALSE)</f>
        <v>Full Time</v>
      </c>
      <c r="F222" t="s">
        <v>12</v>
      </c>
      <c r="G222" t="s">
        <v>43</v>
      </c>
      <c r="H222">
        <v>126000</v>
      </c>
      <c r="I222" t="s">
        <v>19</v>
      </c>
      <c r="J222">
        <v>126000</v>
      </c>
      <c r="K222" t="s">
        <v>29</v>
      </c>
      <c r="L222">
        <v>100</v>
      </c>
      <c r="M222" t="s">
        <v>29</v>
      </c>
      <c r="N222" t="s">
        <v>25</v>
      </c>
      <c r="O222" t="str">
        <f>VLOOKUP(SalaryInfo[[#This Row],[company_size]],CompanySize[],2,FALSE)</f>
        <v>Medium</v>
      </c>
    </row>
    <row r="223" spans="1:15">
      <c r="A223">
        <v>9</v>
      </c>
      <c r="B223">
        <v>2020</v>
      </c>
      <c r="C223" t="str">
        <f>VLOOKUP(SalaryInfo[[#This Row],[experience_level]],Experience[],2,FALSE)</f>
        <v>Senior</v>
      </c>
      <c r="D223" t="s">
        <v>17</v>
      </c>
      <c r="E223" t="str">
        <f>VLOOKUP(SalaryInfo[[#This Row],[employment_type]],EmpType[],2,FALSE)</f>
        <v>Full Time</v>
      </c>
      <c r="F223" t="s">
        <v>12</v>
      </c>
      <c r="G223" t="s">
        <v>36</v>
      </c>
      <c r="H223">
        <v>125000</v>
      </c>
      <c r="I223" t="s">
        <v>19</v>
      </c>
      <c r="J223">
        <v>125000</v>
      </c>
      <c r="K223" t="s">
        <v>37</v>
      </c>
      <c r="L223">
        <v>50</v>
      </c>
      <c r="M223" t="s">
        <v>37</v>
      </c>
      <c r="N223" t="s">
        <v>21</v>
      </c>
      <c r="O223" t="str">
        <f>VLOOKUP(SalaryInfo[[#This Row],[company_size]],CompanySize[],2,FALSE)</f>
        <v>Small</v>
      </c>
    </row>
    <row r="224" spans="1:15">
      <c r="A224">
        <v>159</v>
      </c>
      <c r="B224">
        <v>2021</v>
      </c>
      <c r="C224" t="str">
        <f>VLOOKUP(SalaryInfo[[#This Row],[experience_level]],Experience[],2,FALSE)</f>
        <v>Junior</v>
      </c>
      <c r="D224" t="s">
        <v>30</v>
      </c>
      <c r="E224" t="str">
        <f>VLOOKUP(SalaryInfo[[#This Row],[employment_type]],EmpType[],2,FALSE)</f>
        <v>Full Time</v>
      </c>
      <c r="F224" t="s">
        <v>12</v>
      </c>
      <c r="G224" t="s">
        <v>28</v>
      </c>
      <c r="H224">
        <v>125000</v>
      </c>
      <c r="I224" t="s">
        <v>19</v>
      </c>
      <c r="J224">
        <v>125000</v>
      </c>
      <c r="K224" t="s">
        <v>29</v>
      </c>
      <c r="L224">
        <v>100</v>
      </c>
      <c r="M224" t="s">
        <v>29</v>
      </c>
      <c r="N224" t="s">
        <v>21</v>
      </c>
      <c r="O224" t="str">
        <f>VLOOKUP(SalaryInfo[[#This Row],[company_size]],CompanySize[],2,FALSE)</f>
        <v>Small</v>
      </c>
    </row>
    <row r="225" spans="1:15">
      <c r="A225">
        <v>454</v>
      </c>
      <c r="B225">
        <v>2022</v>
      </c>
      <c r="C225" t="str">
        <f>VLOOKUP(SalaryInfo[[#This Row],[experience_level]],Experience[],2,FALSE)</f>
        <v>Junior</v>
      </c>
      <c r="D225" t="s">
        <v>30</v>
      </c>
      <c r="E225" t="str">
        <f>VLOOKUP(SalaryInfo[[#This Row],[employment_type]],EmpType[],2,FALSE)</f>
        <v>Full Time</v>
      </c>
      <c r="F225" t="s">
        <v>12</v>
      </c>
      <c r="G225" t="s">
        <v>74</v>
      </c>
      <c r="H225">
        <v>125000</v>
      </c>
      <c r="I225" t="s">
        <v>19</v>
      </c>
      <c r="J225">
        <v>125000</v>
      </c>
      <c r="K225" t="s">
        <v>29</v>
      </c>
      <c r="L225">
        <v>0</v>
      </c>
      <c r="M225" t="s">
        <v>29</v>
      </c>
      <c r="N225" t="s">
        <v>25</v>
      </c>
      <c r="O225" t="str">
        <f>VLOOKUP(SalaryInfo[[#This Row],[company_size]],CompanySize[],2,FALSE)</f>
        <v>Medium</v>
      </c>
    </row>
    <row r="226" spans="1:15">
      <c r="A226">
        <v>389</v>
      </c>
      <c r="B226">
        <v>2022</v>
      </c>
      <c r="C226" t="str">
        <f>VLOOKUP(SalaryInfo[[#This Row],[experience_level]],Experience[],2,FALSE)</f>
        <v>Intermediate</v>
      </c>
      <c r="D226" t="s">
        <v>11</v>
      </c>
      <c r="E226" t="str">
        <f>VLOOKUP(SalaryInfo[[#This Row],[employment_type]],EmpType[],2,FALSE)</f>
        <v>Full Time</v>
      </c>
      <c r="F226" t="s">
        <v>12</v>
      </c>
      <c r="G226" t="s">
        <v>28</v>
      </c>
      <c r="H226">
        <v>95000</v>
      </c>
      <c r="I226" t="s">
        <v>23</v>
      </c>
      <c r="J226">
        <v>124333</v>
      </c>
      <c r="K226" t="s">
        <v>24</v>
      </c>
      <c r="L226">
        <v>0</v>
      </c>
      <c r="M226" t="s">
        <v>24</v>
      </c>
      <c r="N226" t="s">
        <v>25</v>
      </c>
      <c r="O226" t="str">
        <f>VLOOKUP(SalaryInfo[[#This Row],[company_size]],CompanySize[],2,FALSE)</f>
        <v>Medium</v>
      </c>
    </row>
    <row r="227" spans="1:15">
      <c r="A227">
        <v>325</v>
      </c>
      <c r="B227">
        <v>2022</v>
      </c>
      <c r="C227" t="str">
        <f>VLOOKUP(SalaryInfo[[#This Row],[experience_level]],Experience[],2,FALSE)</f>
        <v>Senior</v>
      </c>
      <c r="D227" t="s">
        <v>17</v>
      </c>
      <c r="E227" t="str">
        <f>VLOOKUP(SalaryInfo[[#This Row],[employment_type]],EmpType[],2,FALSE)</f>
        <v>Full Time</v>
      </c>
      <c r="F227" t="s">
        <v>12</v>
      </c>
      <c r="G227" t="s">
        <v>31</v>
      </c>
      <c r="H227">
        <v>124190</v>
      </c>
      <c r="I227" t="s">
        <v>19</v>
      </c>
      <c r="J227">
        <v>124190</v>
      </c>
      <c r="K227" t="s">
        <v>29</v>
      </c>
      <c r="L227">
        <v>100</v>
      </c>
      <c r="M227" t="s">
        <v>29</v>
      </c>
      <c r="N227" t="s">
        <v>25</v>
      </c>
      <c r="O227" t="str">
        <f>VLOOKUP(SalaryInfo[[#This Row],[company_size]],CompanySize[],2,FALSE)</f>
        <v>Medium</v>
      </c>
    </row>
    <row r="228" spans="1:15">
      <c r="A228">
        <v>303</v>
      </c>
      <c r="B228">
        <v>2022</v>
      </c>
      <c r="C228" t="str">
        <f>VLOOKUP(SalaryInfo[[#This Row],[experience_level]],Experience[],2,FALSE)</f>
        <v>Senior</v>
      </c>
      <c r="D228" t="s">
        <v>17</v>
      </c>
      <c r="E228" t="str">
        <f>VLOOKUP(SalaryInfo[[#This Row],[employment_type]],EmpType[],2,FALSE)</f>
        <v>Full Time</v>
      </c>
      <c r="F228" t="s">
        <v>12</v>
      </c>
      <c r="G228" t="s">
        <v>13</v>
      </c>
      <c r="H228">
        <v>123000</v>
      </c>
      <c r="I228" t="s">
        <v>19</v>
      </c>
      <c r="J228">
        <v>123000</v>
      </c>
      <c r="K228" t="s">
        <v>29</v>
      </c>
      <c r="L228">
        <v>100</v>
      </c>
      <c r="M228" t="s">
        <v>29</v>
      </c>
      <c r="N228" t="s">
        <v>25</v>
      </c>
      <c r="O228" t="str">
        <f>VLOOKUP(SalaryInfo[[#This Row],[company_size]],CompanySize[],2,FALSE)</f>
        <v>Medium</v>
      </c>
    </row>
    <row r="229" spans="1:15">
      <c r="A229">
        <v>353</v>
      </c>
      <c r="B229">
        <v>2022</v>
      </c>
      <c r="C229" t="str">
        <f>VLOOKUP(SalaryInfo[[#This Row],[experience_level]],Experience[],2,FALSE)</f>
        <v>Senior</v>
      </c>
      <c r="D229" t="s">
        <v>17</v>
      </c>
      <c r="E229" t="str">
        <f>VLOOKUP(SalaryInfo[[#This Row],[employment_type]],EmpType[],2,FALSE)</f>
        <v>Full Time</v>
      </c>
      <c r="F229" t="s">
        <v>12</v>
      </c>
      <c r="G229" t="s">
        <v>13</v>
      </c>
      <c r="H229">
        <v>123000</v>
      </c>
      <c r="I229" t="s">
        <v>19</v>
      </c>
      <c r="J229">
        <v>123000</v>
      </c>
      <c r="K229" t="s">
        <v>29</v>
      </c>
      <c r="L229">
        <v>100</v>
      </c>
      <c r="M229" t="s">
        <v>29</v>
      </c>
      <c r="N229" t="s">
        <v>25</v>
      </c>
      <c r="O229" t="str">
        <f>VLOOKUP(SalaryInfo[[#This Row],[company_size]],CompanySize[],2,FALSE)</f>
        <v>Medium</v>
      </c>
    </row>
    <row r="230" spans="1:15">
      <c r="A230">
        <v>370</v>
      </c>
      <c r="B230">
        <v>2022</v>
      </c>
      <c r="C230" t="str">
        <f>VLOOKUP(SalaryInfo[[#This Row],[experience_level]],Experience[],2,FALSE)</f>
        <v>Senior</v>
      </c>
      <c r="D230" t="s">
        <v>17</v>
      </c>
      <c r="E230" t="str">
        <f>VLOOKUP(SalaryInfo[[#This Row],[employment_type]],EmpType[],2,FALSE)</f>
        <v>Full Time</v>
      </c>
      <c r="F230" t="s">
        <v>12</v>
      </c>
      <c r="G230" t="s">
        <v>13</v>
      </c>
      <c r="H230">
        <v>123000</v>
      </c>
      <c r="I230" t="s">
        <v>19</v>
      </c>
      <c r="J230">
        <v>123000</v>
      </c>
      <c r="K230" t="s">
        <v>29</v>
      </c>
      <c r="L230">
        <v>100</v>
      </c>
      <c r="M230" t="s">
        <v>29</v>
      </c>
      <c r="N230" t="s">
        <v>25</v>
      </c>
      <c r="O230" t="str">
        <f>VLOOKUP(SalaryInfo[[#This Row],[company_size]],CompanySize[],2,FALSE)</f>
        <v>Medium</v>
      </c>
    </row>
    <row r="231" spans="1:15">
      <c r="A231">
        <v>518</v>
      </c>
      <c r="B231">
        <v>2022</v>
      </c>
      <c r="C231" t="str">
        <f>VLOOKUP(SalaryInfo[[#This Row],[experience_level]],Experience[],2,FALSE)</f>
        <v>Intermediate</v>
      </c>
      <c r="D231" t="s">
        <v>11</v>
      </c>
      <c r="E231" t="str">
        <f>VLOOKUP(SalaryInfo[[#This Row],[employment_type]],EmpType[],2,FALSE)</f>
        <v>Full Time</v>
      </c>
      <c r="F231" t="s">
        <v>12</v>
      </c>
      <c r="G231" t="s">
        <v>13</v>
      </c>
      <c r="H231">
        <v>115000</v>
      </c>
      <c r="I231" t="s">
        <v>145</v>
      </c>
      <c r="J231">
        <v>122346</v>
      </c>
      <c r="K231" t="s">
        <v>120</v>
      </c>
      <c r="L231">
        <v>0</v>
      </c>
      <c r="M231" t="s">
        <v>120</v>
      </c>
      <c r="N231" t="s">
        <v>16</v>
      </c>
      <c r="O231" t="str">
        <f>VLOOKUP(SalaryInfo[[#This Row],[company_size]],CompanySize[],2,FALSE)</f>
        <v>Large</v>
      </c>
    </row>
    <row r="232" spans="1:15">
      <c r="A232">
        <v>291</v>
      </c>
      <c r="B232">
        <v>2022</v>
      </c>
      <c r="C232" t="str">
        <f>VLOOKUP(SalaryInfo[[#This Row],[experience_level]],Experience[],2,FALSE)</f>
        <v>Senior</v>
      </c>
      <c r="D232" t="s">
        <v>17</v>
      </c>
      <c r="E232" t="str">
        <f>VLOOKUP(SalaryInfo[[#This Row],[employment_type]],EmpType[],2,FALSE)</f>
        <v>Full Time</v>
      </c>
      <c r="F232" t="s">
        <v>12</v>
      </c>
      <c r="G232" t="s">
        <v>31</v>
      </c>
      <c r="H232">
        <v>120600</v>
      </c>
      <c r="I232" t="s">
        <v>19</v>
      </c>
      <c r="J232">
        <v>120600</v>
      </c>
      <c r="K232" t="s">
        <v>29</v>
      </c>
      <c r="L232">
        <v>100</v>
      </c>
      <c r="M232" t="s">
        <v>29</v>
      </c>
      <c r="N232" t="s">
        <v>25</v>
      </c>
      <c r="O232" t="str">
        <f>VLOOKUP(SalaryInfo[[#This Row],[company_size]],CompanySize[],2,FALSE)</f>
        <v>Medium</v>
      </c>
    </row>
    <row r="233" spans="1:15">
      <c r="A233">
        <v>317</v>
      </c>
      <c r="B233">
        <v>2022</v>
      </c>
      <c r="C233" t="str">
        <f>VLOOKUP(SalaryInfo[[#This Row],[experience_level]],Experience[],2,FALSE)</f>
        <v>Senior</v>
      </c>
      <c r="D233" t="s">
        <v>17</v>
      </c>
      <c r="E233" t="str">
        <f>VLOOKUP(SalaryInfo[[#This Row],[employment_type]],EmpType[],2,FALSE)</f>
        <v>Full Time</v>
      </c>
      <c r="F233" t="s">
        <v>12</v>
      </c>
      <c r="G233" t="s">
        <v>13</v>
      </c>
      <c r="H233">
        <v>120160</v>
      </c>
      <c r="I233" t="s">
        <v>19</v>
      </c>
      <c r="J233">
        <v>120160</v>
      </c>
      <c r="K233" t="s">
        <v>29</v>
      </c>
      <c r="L233">
        <v>100</v>
      </c>
      <c r="M233" t="s">
        <v>29</v>
      </c>
      <c r="N233" t="s">
        <v>25</v>
      </c>
      <c r="O233" t="str">
        <f>VLOOKUP(SalaryInfo[[#This Row],[company_size]],CompanySize[],2,FALSE)</f>
        <v>Medium</v>
      </c>
    </row>
    <row r="234" spans="1:15">
      <c r="A234">
        <v>58</v>
      </c>
      <c r="B234">
        <v>2020</v>
      </c>
      <c r="C234" t="str">
        <f>VLOOKUP(SalaryInfo[[#This Row],[experience_level]],Experience[],2,FALSE)</f>
        <v>Senior</v>
      </c>
      <c r="D234" t="s">
        <v>17</v>
      </c>
      <c r="E234" t="str">
        <f>VLOOKUP(SalaryInfo[[#This Row],[employment_type]],EmpType[],2,FALSE)</f>
        <v>Full Time</v>
      </c>
      <c r="F234" t="s">
        <v>12</v>
      </c>
      <c r="G234" t="s">
        <v>13</v>
      </c>
      <c r="H234">
        <v>120000</v>
      </c>
      <c r="I234" t="s">
        <v>19</v>
      </c>
      <c r="J234">
        <v>120000</v>
      </c>
      <c r="K234" t="s">
        <v>29</v>
      </c>
      <c r="L234">
        <v>50</v>
      </c>
      <c r="M234" t="s">
        <v>29</v>
      </c>
      <c r="N234" t="s">
        <v>16</v>
      </c>
      <c r="O234" t="str">
        <f>VLOOKUP(SalaryInfo[[#This Row],[company_size]],CompanySize[],2,FALSE)</f>
        <v>Large</v>
      </c>
    </row>
    <row r="235" spans="1:15">
      <c r="A235">
        <v>126</v>
      </c>
      <c r="B235">
        <v>2021</v>
      </c>
      <c r="C235" t="str">
        <f>VLOOKUP(SalaryInfo[[#This Row],[experience_level]],Experience[],2,FALSE)</f>
        <v>Senior</v>
      </c>
      <c r="D235" t="s">
        <v>17</v>
      </c>
      <c r="E235" t="str">
        <f>VLOOKUP(SalaryInfo[[#This Row],[employment_type]],EmpType[],2,FALSE)</f>
        <v>Full Time</v>
      </c>
      <c r="F235" t="s">
        <v>12</v>
      </c>
      <c r="G235" t="s">
        <v>18</v>
      </c>
      <c r="H235">
        <v>120000</v>
      </c>
      <c r="I235" t="s">
        <v>19</v>
      </c>
      <c r="J235">
        <v>120000</v>
      </c>
      <c r="K235" t="s">
        <v>29</v>
      </c>
      <c r="L235">
        <v>50</v>
      </c>
      <c r="M235" t="s">
        <v>29</v>
      </c>
      <c r="N235" t="s">
        <v>21</v>
      </c>
      <c r="O235" t="str">
        <f>VLOOKUP(SalaryInfo[[#This Row],[company_size]],CompanySize[],2,FALSE)</f>
        <v>Small</v>
      </c>
    </row>
    <row r="236" spans="1:15">
      <c r="A236">
        <v>158</v>
      </c>
      <c r="B236">
        <v>2021</v>
      </c>
      <c r="C236" t="str">
        <f>VLOOKUP(SalaryInfo[[#This Row],[experience_level]],Experience[],2,FALSE)</f>
        <v>Senior</v>
      </c>
      <c r="D236" t="s">
        <v>17</v>
      </c>
      <c r="E236" t="str">
        <f>VLOOKUP(SalaryInfo[[#This Row],[employment_type]],EmpType[],2,FALSE)</f>
        <v>Full Time</v>
      </c>
      <c r="F236" t="s">
        <v>12</v>
      </c>
      <c r="G236" t="s">
        <v>105</v>
      </c>
      <c r="H236">
        <v>120000</v>
      </c>
      <c r="I236" t="s">
        <v>19</v>
      </c>
      <c r="J236">
        <v>120000</v>
      </c>
      <c r="K236" t="s">
        <v>29</v>
      </c>
      <c r="L236">
        <v>100</v>
      </c>
      <c r="M236" t="s">
        <v>29</v>
      </c>
      <c r="N236" t="s">
        <v>25</v>
      </c>
      <c r="O236" t="str">
        <f>VLOOKUP(SalaryInfo[[#This Row],[company_size]],CompanySize[],2,FALSE)</f>
        <v>Medium</v>
      </c>
    </row>
    <row r="237" spans="1:15">
      <c r="A237">
        <v>209</v>
      </c>
      <c r="B237">
        <v>2021</v>
      </c>
      <c r="C237" t="str">
        <f>VLOOKUP(SalaryInfo[[#This Row],[experience_level]],Experience[],2,FALSE)</f>
        <v>Senior</v>
      </c>
      <c r="D237" t="s">
        <v>17</v>
      </c>
      <c r="E237" t="str">
        <f>VLOOKUP(SalaryInfo[[#This Row],[employment_type]],EmpType[],2,FALSE)</f>
        <v>Full Time</v>
      </c>
      <c r="F237" t="s">
        <v>12</v>
      </c>
      <c r="G237" t="s">
        <v>105</v>
      </c>
      <c r="H237">
        <v>120000</v>
      </c>
      <c r="I237" t="s">
        <v>19</v>
      </c>
      <c r="J237">
        <v>120000</v>
      </c>
      <c r="K237" t="s">
        <v>29</v>
      </c>
      <c r="L237">
        <v>0</v>
      </c>
      <c r="M237" t="s">
        <v>29</v>
      </c>
      <c r="N237" t="s">
        <v>16</v>
      </c>
      <c r="O237" t="str">
        <f>VLOOKUP(SalaryInfo[[#This Row],[company_size]],CompanySize[],2,FALSE)</f>
        <v>Large</v>
      </c>
    </row>
    <row r="238" spans="1:15">
      <c r="A238">
        <v>324</v>
      </c>
      <c r="B238">
        <v>2022</v>
      </c>
      <c r="C238" t="str">
        <f>VLOOKUP(SalaryInfo[[#This Row],[experience_level]],Experience[],2,FALSE)</f>
        <v>Senior</v>
      </c>
      <c r="D238" t="s">
        <v>17</v>
      </c>
      <c r="E238" t="str">
        <f>VLOOKUP(SalaryInfo[[#This Row],[employment_type]],EmpType[],2,FALSE)</f>
        <v>Full Time</v>
      </c>
      <c r="F238" t="s">
        <v>12</v>
      </c>
      <c r="G238" t="s">
        <v>13</v>
      </c>
      <c r="H238">
        <v>120000</v>
      </c>
      <c r="I238" t="s">
        <v>19</v>
      </c>
      <c r="J238">
        <v>120000</v>
      </c>
      <c r="K238" t="s">
        <v>29</v>
      </c>
      <c r="L238">
        <v>0</v>
      </c>
      <c r="M238" t="s">
        <v>29</v>
      </c>
      <c r="N238" t="s">
        <v>16</v>
      </c>
      <c r="O238" t="str">
        <f>VLOOKUP(SalaryInfo[[#This Row],[company_size]],CompanySize[],2,FALSE)</f>
        <v>Large</v>
      </c>
    </row>
    <row r="239" spans="1:15">
      <c r="A239">
        <v>391</v>
      </c>
      <c r="B239">
        <v>2022</v>
      </c>
      <c r="C239" t="str">
        <f>VLOOKUP(SalaryInfo[[#This Row],[experience_level]],Experience[],2,FALSE)</f>
        <v>Intermediate</v>
      </c>
      <c r="D239" t="s">
        <v>11</v>
      </c>
      <c r="E239" t="str">
        <f>VLOOKUP(SalaryInfo[[#This Row],[employment_type]],EmpType[],2,FALSE)</f>
        <v>Full Time</v>
      </c>
      <c r="F239" t="s">
        <v>12</v>
      </c>
      <c r="G239" t="s">
        <v>70</v>
      </c>
      <c r="H239">
        <v>120000</v>
      </c>
      <c r="I239" t="s">
        <v>19</v>
      </c>
      <c r="J239">
        <v>120000</v>
      </c>
      <c r="K239" t="s">
        <v>29</v>
      </c>
      <c r="L239">
        <v>0</v>
      </c>
      <c r="M239" t="s">
        <v>29</v>
      </c>
      <c r="N239" t="s">
        <v>25</v>
      </c>
      <c r="O239" t="str">
        <f>VLOOKUP(SalaryInfo[[#This Row],[company_size]],CompanySize[],2,FALSE)</f>
        <v>Medium</v>
      </c>
    </row>
    <row r="240" spans="1:15">
      <c r="A240">
        <v>453</v>
      </c>
      <c r="B240">
        <v>2022</v>
      </c>
      <c r="C240" t="str">
        <f>VLOOKUP(SalaryInfo[[#This Row],[experience_level]],Experience[],2,FALSE)</f>
        <v>Intermediate</v>
      </c>
      <c r="D240" t="s">
        <v>11</v>
      </c>
      <c r="E240" t="str">
        <f>VLOOKUP(SalaryInfo[[#This Row],[employment_type]],EmpType[],2,FALSE)</f>
        <v>Full Time</v>
      </c>
      <c r="F240" t="s">
        <v>12</v>
      </c>
      <c r="G240" t="s">
        <v>28</v>
      </c>
      <c r="H240">
        <v>120000</v>
      </c>
      <c r="I240" t="s">
        <v>19</v>
      </c>
      <c r="J240">
        <v>120000</v>
      </c>
      <c r="K240" t="s">
        <v>29</v>
      </c>
      <c r="L240">
        <v>100</v>
      </c>
      <c r="M240" t="s">
        <v>29</v>
      </c>
      <c r="N240" t="s">
        <v>21</v>
      </c>
      <c r="O240" t="str">
        <f>VLOOKUP(SalaryInfo[[#This Row],[company_size]],CompanySize[],2,FALSE)</f>
        <v>Small</v>
      </c>
    </row>
    <row r="241" spans="1:15">
      <c r="A241">
        <v>479</v>
      </c>
      <c r="B241">
        <v>2022</v>
      </c>
      <c r="C241" t="str">
        <f>VLOOKUP(SalaryInfo[[#This Row],[experience_level]],Experience[],2,FALSE)</f>
        <v>Intermediate</v>
      </c>
      <c r="D241" t="s">
        <v>11</v>
      </c>
      <c r="E241" t="str">
        <f>VLOOKUP(SalaryInfo[[#This Row],[employment_type]],EmpType[],2,FALSE)</f>
        <v>Full Time</v>
      </c>
      <c r="F241" t="s">
        <v>12</v>
      </c>
      <c r="G241" t="s">
        <v>13</v>
      </c>
      <c r="H241">
        <v>120000</v>
      </c>
      <c r="I241" t="s">
        <v>19</v>
      </c>
      <c r="J241">
        <v>120000</v>
      </c>
      <c r="K241" t="s">
        <v>29</v>
      </c>
      <c r="L241">
        <v>100</v>
      </c>
      <c r="M241" t="s">
        <v>29</v>
      </c>
      <c r="N241" t="s">
        <v>25</v>
      </c>
      <c r="O241" t="str">
        <f>VLOOKUP(SalaryInfo[[#This Row],[company_size]],CompanySize[],2,FALSE)</f>
        <v>Medium</v>
      </c>
    </row>
    <row r="242" spans="1:15">
      <c r="A242">
        <v>465</v>
      </c>
      <c r="B242">
        <v>2022</v>
      </c>
      <c r="C242" t="str">
        <f>VLOOKUP(SalaryInfo[[#This Row],[experience_level]],Experience[],2,FALSE)</f>
        <v>Junior</v>
      </c>
      <c r="D242" t="s">
        <v>30</v>
      </c>
      <c r="E242" t="str">
        <f>VLOOKUP(SalaryInfo[[#This Row],[employment_type]],EmpType[],2,FALSE)</f>
        <v>Full Time</v>
      </c>
      <c r="F242" t="s">
        <v>12</v>
      </c>
      <c r="G242" t="s">
        <v>43</v>
      </c>
      <c r="H242">
        <v>120000</v>
      </c>
      <c r="I242" t="s">
        <v>19</v>
      </c>
      <c r="J242">
        <v>120000</v>
      </c>
      <c r="K242" t="s">
        <v>29</v>
      </c>
      <c r="L242">
        <v>100</v>
      </c>
      <c r="M242" t="s">
        <v>29</v>
      </c>
      <c r="N242" t="s">
        <v>25</v>
      </c>
      <c r="O242" t="str">
        <f>VLOOKUP(SalaryInfo[[#This Row],[company_size]],CompanySize[],2,FALSE)</f>
        <v>Medium</v>
      </c>
    </row>
    <row r="243" spans="1:15">
      <c r="A243">
        <v>480</v>
      </c>
      <c r="B243">
        <v>2022</v>
      </c>
      <c r="C243" t="str">
        <f>VLOOKUP(SalaryInfo[[#This Row],[experience_level]],Experience[],2,FALSE)</f>
        <v>Senior</v>
      </c>
      <c r="D243" t="s">
        <v>17</v>
      </c>
      <c r="E243" t="str">
        <f>VLOOKUP(SalaryInfo[[#This Row],[employment_type]],EmpType[],2,FALSE)</f>
        <v>Full Time</v>
      </c>
      <c r="F243" t="s">
        <v>12</v>
      </c>
      <c r="G243" t="s">
        <v>28</v>
      </c>
      <c r="H243">
        <v>120000</v>
      </c>
      <c r="I243" t="s">
        <v>19</v>
      </c>
      <c r="J243">
        <v>120000</v>
      </c>
      <c r="K243" t="s">
        <v>52</v>
      </c>
      <c r="L243">
        <v>100</v>
      </c>
      <c r="M243" t="s">
        <v>52</v>
      </c>
      <c r="N243" t="s">
        <v>21</v>
      </c>
      <c r="O243" t="str">
        <f>VLOOKUP(SalaryInfo[[#This Row],[company_size]],CompanySize[],2,FALSE)</f>
        <v>Small</v>
      </c>
    </row>
    <row r="244" spans="1:15">
      <c r="A244">
        <v>485</v>
      </c>
      <c r="B244">
        <v>2022</v>
      </c>
      <c r="C244" t="str">
        <f>VLOOKUP(SalaryInfo[[#This Row],[experience_level]],Experience[],2,FALSE)</f>
        <v>Senior</v>
      </c>
      <c r="D244" t="s">
        <v>17</v>
      </c>
      <c r="E244" t="str">
        <f>VLOOKUP(SalaryInfo[[#This Row],[employment_type]],EmpType[],2,FALSE)</f>
        <v>Full Time</v>
      </c>
      <c r="F244" t="s">
        <v>12</v>
      </c>
      <c r="G244" t="s">
        <v>28</v>
      </c>
      <c r="H244">
        <v>120000</v>
      </c>
      <c r="I244" t="s">
        <v>19</v>
      </c>
      <c r="J244">
        <v>120000</v>
      </c>
      <c r="K244" t="s">
        <v>29</v>
      </c>
      <c r="L244">
        <v>100</v>
      </c>
      <c r="M244" t="s">
        <v>29</v>
      </c>
      <c r="N244" t="s">
        <v>25</v>
      </c>
      <c r="O244" t="str">
        <f>VLOOKUP(SalaryInfo[[#This Row],[company_size]],CompanySize[],2,FALSE)</f>
        <v>Medium</v>
      </c>
    </row>
    <row r="245" spans="1:15">
      <c r="A245">
        <v>508</v>
      </c>
      <c r="B245">
        <v>2022</v>
      </c>
      <c r="C245" t="str">
        <f>VLOOKUP(SalaryInfo[[#This Row],[experience_level]],Experience[],2,FALSE)</f>
        <v>Junior</v>
      </c>
      <c r="D245" t="s">
        <v>30</v>
      </c>
      <c r="E245" t="str">
        <f>VLOOKUP(SalaryInfo[[#This Row],[employment_type]],EmpType[],2,FALSE)</f>
        <v>Full Time</v>
      </c>
      <c r="F245" t="s">
        <v>12</v>
      </c>
      <c r="G245" t="s">
        <v>55</v>
      </c>
      <c r="H245">
        <v>120000</v>
      </c>
      <c r="I245" t="s">
        <v>19</v>
      </c>
      <c r="J245">
        <v>120000</v>
      </c>
      <c r="K245" t="s">
        <v>29</v>
      </c>
      <c r="L245">
        <v>100</v>
      </c>
      <c r="M245" t="s">
        <v>29</v>
      </c>
      <c r="N245" t="s">
        <v>16</v>
      </c>
      <c r="O245" t="str">
        <f>VLOOKUP(SalaryInfo[[#This Row],[company_size]],CompanySize[],2,FALSE)</f>
        <v>Large</v>
      </c>
    </row>
    <row r="246" spans="1:15">
      <c r="A246">
        <v>156</v>
      </c>
      <c r="B246">
        <v>2021</v>
      </c>
      <c r="C246" t="str">
        <f>VLOOKUP(SalaryInfo[[#This Row],[experience_level]],Experience[],2,FALSE)</f>
        <v>Intermediate</v>
      </c>
      <c r="D246" t="s">
        <v>11</v>
      </c>
      <c r="E246" t="str">
        <f>VLOOKUP(SalaryInfo[[#This Row],[employment_type]],EmpType[],2,FALSE)</f>
        <v>Full Time</v>
      </c>
      <c r="F246" t="s">
        <v>12</v>
      </c>
      <c r="G246" t="s">
        <v>13</v>
      </c>
      <c r="H246">
        <v>160000</v>
      </c>
      <c r="I246" t="s">
        <v>89</v>
      </c>
      <c r="J246">
        <v>119059</v>
      </c>
      <c r="K246" t="s">
        <v>90</v>
      </c>
      <c r="L246">
        <v>100</v>
      </c>
      <c r="M246" t="s">
        <v>104</v>
      </c>
      <c r="N246" t="s">
        <v>25</v>
      </c>
      <c r="O246" t="str">
        <f>VLOOKUP(SalaryInfo[[#This Row],[company_size]],CompanySize[],2,FALSE)</f>
        <v>Medium</v>
      </c>
    </row>
    <row r="247" spans="1:15">
      <c r="A247">
        <v>375</v>
      </c>
      <c r="B247">
        <v>2022</v>
      </c>
      <c r="C247" t="str">
        <f>VLOOKUP(SalaryInfo[[#This Row],[experience_level]],Experience[],2,FALSE)</f>
        <v>Director</v>
      </c>
      <c r="D247" t="s">
        <v>53</v>
      </c>
      <c r="E247" t="str">
        <f>VLOOKUP(SalaryInfo[[#This Row],[employment_type]],EmpType[],2,FALSE)</f>
        <v>Full Time</v>
      </c>
      <c r="F247" t="s">
        <v>12</v>
      </c>
      <c r="G247" t="s">
        <v>36</v>
      </c>
      <c r="H247">
        <v>150000</v>
      </c>
      <c r="I247" t="s">
        <v>61</v>
      </c>
      <c r="J247">
        <v>118187</v>
      </c>
      <c r="K247" t="s">
        <v>62</v>
      </c>
      <c r="L247">
        <v>100</v>
      </c>
      <c r="M247" t="s">
        <v>62</v>
      </c>
      <c r="N247" t="s">
        <v>21</v>
      </c>
      <c r="O247" t="str">
        <f>VLOOKUP(SalaryInfo[[#This Row],[company_size]],CompanySize[],2,FALSE)</f>
        <v>Small</v>
      </c>
    </row>
    <row r="248" spans="1:15">
      <c r="A248">
        <v>57</v>
      </c>
      <c r="B248">
        <v>2020</v>
      </c>
      <c r="C248" t="str">
        <f>VLOOKUP(SalaryInfo[[#This Row],[experience_level]],Experience[],2,FALSE)</f>
        <v>Intermediate</v>
      </c>
      <c r="D248" t="s">
        <v>11</v>
      </c>
      <c r="E248" t="str">
        <f>VLOOKUP(SalaryInfo[[#This Row],[employment_type]],EmpType[],2,FALSE)</f>
        <v>Full Time</v>
      </c>
      <c r="F248" t="s">
        <v>12</v>
      </c>
      <c r="G248" t="s">
        <v>13</v>
      </c>
      <c r="H248">
        <v>118000</v>
      </c>
      <c r="I248" t="s">
        <v>19</v>
      </c>
      <c r="J248">
        <v>118000</v>
      </c>
      <c r="K248" t="s">
        <v>29</v>
      </c>
      <c r="L248">
        <v>100</v>
      </c>
      <c r="M248" t="s">
        <v>29</v>
      </c>
      <c r="N248" t="s">
        <v>25</v>
      </c>
      <c r="O248" t="str">
        <f>VLOOKUP(SalaryInfo[[#This Row],[company_size]],CompanySize[],2,FALSE)</f>
        <v>Medium</v>
      </c>
    </row>
    <row r="249" spans="1:15">
      <c r="A249">
        <v>300</v>
      </c>
      <c r="B249">
        <v>2022</v>
      </c>
      <c r="C249" t="str">
        <f>VLOOKUP(SalaryInfo[[#This Row],[experience_level]],Experience[],2,FALSE)</f>
        <v>Senior</v>
      </c>
      <c r="D249" t="s">
        <v>17</v>
      </c>
      <c r="E249" t="str">
        <f>VLOOKUP(SalaryInfo[[#This Row],[employment_type]],EmpType[],2,FALSE)</f>
        <v>Full Time</v>
      </c>
      <c r="F249" t="s">
        <v>12</v>
      </c>
      <c r="G249" t="s">
        <v>13</v>
      </c>
      <c r="H249">
        <v>90000</v>
      </c>
      <c r="I249" t="s">
        <v>23</v>
      </c>
      <c r="J249">
        <v>117789</v>
      </c>
      <c r="K249" t="s">
        <v>24</v>
      </c>
      <c r="L249">
        <v>0</v>
      </c>
      <c r="M249" t="s">
        <v>24</v>
      </c>
      <c r="N249" t="s">
        <v>25</v>
      </c>
      <c r="O249" t="str">
        <f>VLOOKUP(SalaryInfo[[#This Row],[company_size]],CompanySize[],2,FALSE)</f>
        <v>Medium</v>
      </c>
    </row>
    <row r="250" spans="1:15">
      <c r="A250">
        <v>397</v>
      </c>
      <c r="B250">
        <v>2022</v>
      </c>
      <c r="C250" t="str">
        <f>VLOOKUP(SalaryInfo[[#This Row],[experience_level]],Experience[],2,FALSE)</f>
        <v>Intermediate</v>
      </c>
      <c r="D250" t="s">
        <v>11</v>
      </c>
      <c r="E250" t="str">
        <f>VLOOKUP(SalaryInfo[[#This Row],[employment_type]],EmpType[],2,FALSE)</f>
        <v>Full Time</v>
      </c>
      <c r="F250" t="s">
        <v>12</v>
      </c>
      <c r="G250" t="s">
        <v>43</v>
      </c>
      <c r="H250">
        <v>90000</v>
      </c>
      <c r="I250" t="s">
        <v>23</v>
      </c>
      <c r="J250">
        <v>117789</v>
      </c>
      <c r="K250" t="s">
        <v>24</v>
      </c>
      <c r="L250">
        <v>0</v>
      </c>
      <c r="M250" t="s">
        <v>24</v>
      </c>
      <c r="N250" t="s">
        <v>25</v>
      </c>
      <c r="O250" t="str">
        <f>VLOOKUP(SalaryInfo[[#This Row],[company_size]],CompanySize[],2,FALSE)</f>
        <v>Medium</v>
      </c>
    </row>
    <row r="251" spans="1:15">
      <c r="A251">
        <v>29</v>
      </c>
      <c r="B251">
        <v>2020</v>
      </c>
      <c r="C251" t="str">
        <f>VLOOKUP(SalaryInfo[[#This Row],[experience_level]],Experience[],2,FALSE)</f>
        <v>Senior</v>
      </c>
      <c r="D251" t="s">
        <v>17</v>
      </c>
      <c r="E251" t="str">
        <f>VLOOKUP(SalaryInfo[[#This Row],[employment_type]],EmpType[],2,FALSE)</f>
        <v>Full Time</v>
      </c>
      <c r="F251" t="s">
        <v>12</v>
      </c>
      <c r="G251" t="s">
        <v>60</v>
      </c>
      <c r="H251">
        <v>157000</v>
      </c>
      <c r="I251" t="s">
        <v>61</v>
      </c>
      <c r="J251">
        <v>117104</v>
      </c>
      <c r="K251" t="s">
        <v>62</v>
      </c>
      <c r="L251">
        <v>50</v>
      </c>
      <c r="M251" t="s">
        <v>62</v>
      </c>
      <c r="N251" t="s">
        <v>16</v>
      </c>
      <c r="O251" t="str">
        <f>VLOOKUP(SalaryInfo[[#This Row],[company_size]],CompanySize[],2,FALSE)</f>
        <v>Large</v>
      </c>
    </row>
    <row r="252" spans="1:15">
      <c r="A252">
        <v>221</v>
      </c>
      <c r="B252">
        <v>2021</v>
      </c>
      <c r="C252" t="str">
        <f>VLOOKUP(SalaryInfo[[#This Row],[experience_level]],Experience[],2,FALSE)</f>
        <v>Intermediate</v>
      </c>
      <c r="D252" t="s">
        <v>11</v>
      </c>
      <c r="E252" t="str">
        <f>VLOOKUP(SalaryInfo[[#This Row],[employment_type]],EmpType[],2,FALSE)</f>
        <v>Full Time</v>
      </c>
      <c r="F252" t="s">
        <v>12</v>
      </c>
      <c r="G252" t="s">
        <v>13</v>
      </c>
      <c r="H252">
        <v>85000</v>
      </c>
      <c r="I252" t="s">
        <v>23</v>
      </c>
      <c r="J252">
        <v>116914</v>
      </c>
      <c r="K252" t="s">
        <v>24</v>
      </c>
      <c r="L252">
        <v>50</v>
      </c>
      <c r="M252" t="s">
        <v>24</v>
      </c>
      <c r="N252" t="s">
        <v>16</v>
      </c>
      <c r="O252" t="str">
        <f>VLOOKUP(SalaryInfo[[#This Row],[company_size]],CompanySize[],2,FALSE)</f>
        <v>Large</v>
      </c>
    </row>
    <row r="253" spans="1:15">
      <c r="A253">
        <v>564</v>
      </c>
      <c r="B253">
        <v>2022</v>
      </c>
      <c r="C253" t="str">
        <f>VLOOKUP(SalaryInfo[[#This Row],[experience_level]],Experience[],2,FALSE)</f>
        <v>Senior</v>
      </c>
      <c r="D253" t="s">
        <v>17</v>
      </c>
      <c r="E253" t="str">
        <f>VLOOKUP(SalaryInfo[[#This Row],[employment_type]],EmpType[],2,FALSE)</f>
        <v>Full Time</v>
      </c>
      <c r="F253" t="s">
        <v>12</v>
      </c>
      <c r="G253" t="s">
        <v>31</v>
      </c>
      <c r="H253">
        <v>116150</v>
      </c>
      <c r="I253" t="s">
        <v>19</v>
      </c>
      <c r="J253">
        <v>116150</v>
      </c>
      <c r="K253" t="s">
        <v>29</v>
      </c>
      <c r="L253">
        <v>100</v>
      </c>
      <c r="M253" t="s">
        <v>29</v>
      </c>
      <c r="N253" t="s">
        <v>25</v>
      </c>
      <c r="O253" t="str">
        <f>VLOOKUP(SalaryInfo[[#This Row],[company_size]],CompanySize[],2,FALSE)</f>
        <v>Medium</v>
      </c>
    </row>
    <row r="254" spans="1:15">
      <c r="A254">
        <v>306</v>
      </c>
      <c r="B254">
        <v>2022</v>
      </c>
      <c r="C254" t="str">
        <f>VLOOKUP(SalaryInfo[[#This Row],[experience_level]],Experience[],2,FALSE)</f>
        <v>Senior</v>
      </c>
      <c r="D254" t="s">
        <v>17</v>
      </c>
      <c r="E254" t="str">
        <f>VLOOKUP(SalaryInfo[[#This Row],[employment_type]],EmpType[],2,FALSE)</f>
        <v>Full Time</v>
      </c>
      <c r="F254" t="s">
        <v>12</v>
      </c>
      <c r="G254" t="s">
        <v>31</v>
      </c>
      <c r="H254">
        <v>116000</v>
      </c>
      <c r="I254" t="s">
        <v>19</v>
      </c>
      <c r="J254">
        <v>116000</v>
      </c>
      <c r="K254" t="s">
        <v>29</v>
      </c>
      <c r="L254">
        <v>0</v>
      </c>
      <c r="M254" t="s">
        <v>29</v>
      </c>
      <c r="N254" t="s">
        <v>25</v>
      </c>
      <c r="O254" t="str">
        <f>VLOOKUP(SalaryInfo[[#This Row],[company_size]],CompanySize[],2,FALSE)</f>
        <v>Medium</v>
      </c>
    </row>
    <row r="255" spans="1:15">
      <c r="A255">
        <v>402</v>
      </c>
      <c r="B255">
        <v>2022</v>
      </c>
      <c r="C255" t="str">
        <f>VLOOKUP(SalaryInfo[[#This Row],[experience_level]],Experience[],2,FALSE)</f>
        <v>Senior</v>
      </c>
      <c r="D255" t="s">
        <v>17</v>
      </c>
      <c r="E255" t="str">
        <f>VLOOKUP(SalaryInfo[[#This Row],[employment_type]],EmpType[],2,FALSE)</f>
        <v>Full Time</v>
      </c>
      <c r="F255" t="s">
        <v>12</v>
      </c>
      <c r="G255" t="s">
        <v>31</v>
      </c>
      <c r="H255">
        <v>115934</v>
      </c>
      <c r="I255" t="s">
        <v>19</v>
      </c>
      <c r="J255">
        <v>115934</v>
      </c>
      <c r="K255" t="s">
        <v>29</v>
      </c>
      <c r="L255">
        <v>0</v>
      </c>
      <c r="M255" t="s">
        <v>29</v>
      </c>
      <c r="N255" t="s">
        <v>25</v>
      </c>
      <c r="O255" t="str">
        <f>VLOOKUP(SalaryInfo[[#This Row],[company_size]],CompanySize[],2,FALSE)</f>
        <v>Medium</v>
      </c>
    </row>
    <row r="256" spans="1:15">
      <c r="A256">
        <v>540</v>
      </c>
      <c r="B256">
        <v>2022</v>
      </c>
      <c r="C256" t="str">
        <f>VLOOKUP(SalaryInfo[[#This Row],[experience_level]],Experience[],2,FALSE)</f>
        <v>Senior</v>
      </c>
      <c r="D256" t="s">
        <v>17</v>
      </c>
      <c r="E256" t="str">
        <f>VLOOKUP(SalaryInfo[[#This Row],[employment_type]],EmpType[],2,FALSE)</f>
        <v>Full Time</v>
      </c>
      <c r="F256" t="s">
        <v>12</v>
      </c>
      <c r="G256" t="s">
        <v>31</v>
      </c>
      <c r="H256">
        <v>115934</v>
      </c>
      <c r="I256" t="s">
        <v>19</v>
      </c>
      <c r="J256">
        <v>115934</v>
      </c>
      <c r="K256" t="s">
        <v>29</v>
      </c>
      <c r="L256">
        <v>100</v>
      </c>
      <c r="M256" t="s">
        <v>29</v>
      </c>
      <c r="N256" t="s">
        <v>25</v>
      </c>
      <c r="O256" t="str">
        <f>VLOOKUP(SalaryInfo[[#This Row],[company_size]],CompanySize[],2,FALSE)</f>
        <v>Medium</v>
      </c>
    </row>
    <row r="257" spans="1:15">
      <c r="A257">
        <v>329</v>
      </c>
      <c r="B257">
        <v>2022</v>
      </c>
      <c r="C257" t="str">
        <f>VLOOKUP(SalaryInfo[[#This Row],[experience_level]],Experience[],2,FALSE)</f>
        <v>Intermediate</v>
      </c>
      <c r="D257" t="s">
        <v>11</v>
      </c>
      <c r="E257" t="str">
        <f>VLOOKUP(SalaryInfo[[#This Row],[employment_type]],EmpType[],2,FALSE)</f>
        <v>Full Time</v>
      </c>
      <c r="F257" t="s">
        <v>12</v>
      </c>
      <c r="G257" t="s">
        <v>31</v>
      </c>
      <c r="H257">
        <v>115500</v>
      </c>
      <c r="I257" t="s">
        <v>19</v>
      </c>
      <c r="J257">
        <v>115500</v>
      </c>
      <c r="K257" t="s">
        <v>29</v>
      </c>
      <c r="L257">
        <v>100</v>
      </c>
      <c r="M257" t="s">
        <v>29</v>
      </c>
      <c r="N257" t="s">
        <v>25</v>
      </c>
      <c r="O257" t="str">
        <f>VLOOKUP(SalaryInfo[[#This Row],[company_size]],CompanySize[],2,FALSE)</f>
        <v>Medium</v>
      </c>
    </row>
    <row r="258" spans="1:15">
      <c r="A258">
        <v>107</v>
      </c>
      <c r="B258">
        <v>2021</v>
      </c>
      <c r="C258" t="str">
        <f>VLOOKUP(SalaryInfo[[#This Row],[experience_level]],Experience[],2,FALSE)</f>
        <v>Senior</v>
      </c>
      <c r="D258" t="s">
        <v>17</v>
      </c>
      <c r="E258" t="str">
        <f>VLOOKUP(SalaryInfo[[#This Row],[employment_type]],EmpType[],2,FALSE)</f>
        <v>Full Time</v>
      </c>
      <c r="F258" t="s">
        <v>12</v>
      </c>
      <c r="G258" t="s">
        <v>43</v>
      </c>
      <c r="H258">
        <v>115000</v>
      </c>
      <c r="I258" t="s">
        <v>19</v>
      </c>
      <c r="J258">
        <v>115000</v>
      </c>
      <c r="K258" t="s">
        <v>29</v>
      </c>
      <c r="L258">
        <v>100</v>
      </c>
      <c r="M258" t="s">
        <v>29</v>
      </c>
      <c r="N258" t="s">
        <v>21</v>
      </c>
      <c r="O258" t="str">
        <f>VLOOKUP(SalaryInfo[[#This Row],[company_size]],CompanySize[],2,FALSE)</f>
        <v>Small</v>
      </c>
    </row>
    <row r="259" spans="1:15">
      <c r="A259">
        <v>24</v>
      </c>
      <c r="B259">
        <v>2020</v>
      </c>
      <c r="C259" t="str">
        <f>VLOOKUP(SalaryInfo[[#This Row],[experience_level]],Experience[],2,FALSE)</f>
        <v>Intermediate</v>
      </c>
      <c r="D259" t="s">
        <v>11</v>
      </c>
      <c r="E259" t="str">
        <f>VLOOKUP(SalaryInfo[[#This Row],[employment_type]],EmpType[],2,FALSE)</f>
        <v>Full Time</v>
      </c>
      <c r="F259" t="s">
        <v>12</v>
      </c>
      <c r="G259" t="s">
        <v>32</v>
      </c>
      <c r="H259">
        <v>115000</v>
      </c>
      <c r="I259" t="s">
        <v>19</v>
      </c>
      <c r="J259">
        <v>115000</v>
      </c>
      <c r="K259" t="s">
        <v>52</v>
      </c>
      <c r="L259">
        <v>0</v>
      </c>
      <c r="M259" t="s">
        <v>52</v>
      </c>
      <c r="N259" t="s">
        <v>16</v>
      </c>
      <c r="O259" t="str">
        <f>VLOOKUP(SalaryInfo[[#This Row],[company_size]],CompanySize[],2,FALSE)</f>
        <v>Large</v>
      </c>
    </row>
    <row r="260" spans="1:15">
      <c r="A260">
        <v>250</v>
      </c>
      <c r="B260">
        <v>2021</v>
      </c>
      <c r="C260" t="str">
        <f>VLOOKUP(SalaryInfo[[#This Row],[experience_level]],Experience[],2,FALSE)</f>
        <v>Intermediate</v>
      </c>
      <c r="D260" t="s">
        <v>11</v>
      </c>
      <c r="E260" t="str">
        <f>VLOOKUP(SalaryInfo[[#This Row],[employment_type]],EmpType[],2,FALSE)</f>
        <v>Full Time</v>
      </c>
      <c r="F260" t="s">
        <v>12</v>
      </c>
      <c r="G260" t="s">
        <v>13</v>
      </c>
      <c r="H260">
        <v>115000</v>
      </c>
      <c r="I260" t="s">
        <v>19</v>
      </c>
      <c r="J260">
        <v>115000</v>
      </c>
      <c r="K260" t="s">
        <v>29</v>
      </c>
      <c r="L260">
        <v>50</v>
      </c>
      <c r="M260" t="s">
        <v>29</v>
      </c>
      <c r="N260" t="s">
        <v>16</v>
      </c>
      <c r="O260" t="str">
        <f>VLOOKUP(SalaryInfo[[#This Row],[company_size]],CompanySize[],2,FALSE)</f>
        <v>Large</v>
      </c>
    </row>
    <row r="261" spans="1:15">
      <c r="A261">
        <v>504</v>
      </c>
      <c r="B261">
        <v>2022</v>
      </c>
      <c r="C261" t="str">
        <f>VLOOKUP(SalaryInfo[[#This Row],[experience_level]],Experience[],2,FALSE)</f>
        <v>Senior</v>
      </c>
      <c r="D261" t="s">
        <v>17</v>
      </c>
      <c r="E261" t="str">
        <f>VLOOKUP(SalaryInfo[[#This Row],[employment_type]],EmpType[],2,FALSE)</f>
        <v>Full Time</v>
      </c>
      <c r="F261" t="s">
        <v>12</v>
      </c>
      <c r="G261" t="s">
        <v>43</v>
      </c>
      <c r="H261">
        <v>115000</v>
      </c>
      <c r="I261" t="s">
        <v>19</v>
      </c>
      <c r="J261">
        <v>115000</v>
      </c>
      <c r="K261" t="s">
        <v>29</v>
      </c>
      <c r="L261">
        <v>100</v>
      </c>
      <c r="M261" t="s">
        <v>29</v>
      </c>
      <c r="N261" t="s">
        <v>25</v>
      </c>
      <c r="O261" t="str">
        <f>VLOOKUP(SalaryInfo[[#This Row],[company_size]],CompanySize[],2,FALSE)</f>
        <v>Medium</v>
      </c>
    </row>
    <row r="262" spans="1:15">
      <c r="A262">
        <v>545</v>
      </c>
      <c r="B262">
        <v>2022</v>
      </c>
      <c r="C262" t="str">
        <f>VLOOKUP(SalaryInfo[[#This Row],[experience_level]],Experience[],2,FALSE)</f>
        <v>Senior</v>
      </c>
      <c r="D262" t="s">
        <v>17</v>
      </c>
      <c r="E262" t="str">
        <f>VLOOKUP(SalaryInfo[[#This Row],[employment_type]],EmpType[],2,FALSE)</f>
        <v>Full Time</v>
      </c>
      <c r="F262" t="s">
        <v>12</v>
      </c>
      <c r="G262" t="s">
        <v>43</v>
      </c>
      <c r="H262">
        <v>115000</v>
      </c>
      <c r="I262" t="s">
        <v>19</v>
      </c>
      <c r="J262">
        <v>115000</v>
      </c>
      <c r="K262" t="s">
        <v>29</v>
      </c>
      <c r="L262">
        <v>100</v>
      </c>
      <c r="M262" t="s">
        <v>29</v>
      </c>
      <c r="N262" t="s">
        <v>25</v>
      </c>
      <c r="O262" t="str">
        <f>VLOOKUP(SalaryInfo[[#This Row],[company_size]],CompanySize[],2,FALSE)</f>
        <v>Medium</v>
      </c>
    </row>
    <row r="263" spans="1:15">
      <c r="A263">
        <v>17</v>
      </c>
      <c r="B263">
        <v>2020</v>
      </c>
      <c r="C263" t="str">
        <f>VLOOKUP(SalaryInfo[[#This Row],[experience_level]],Experience[],2,FALSE)</f>
        <v>Senior</v>
      </c>
      <c r="D263" t="s">
        <v>17</v>
      </c>
      <c r="E263" t="str">
        <f>VLOOKUP(SalaryInfo[[#This Row],[employment_type]],EmpType[],2,FALSE)</f>
        <v>Full Time</v>
      </c>
      <c r="F263" t="s">
        <v>12</v>
      </c>
      <c r="G263" t="s">
        <v>22</v>
      </c>
      <c r="H263">
        <v>100000</v>
      </c>
      <c r="I263" t="s">
        <v>14</v>
      </c>
      <c r="J263">
        <v>114047</v>
      </c>
      <c r="K263" t="s">
        <v>45</v>
      </c>
      <c r="L263">
        <v>100</v>
      </c>
      <c r="M263" t="s">
        <v>24</v>
      </c>
      <c r="N263" t="s">
        <v>21</v>
      </c>
      <c r="O263" t="str">
        <f>VLOOKUP(SalaryInfo[[#This Row],[company_size]],CompanySize[],2,FALSE)</f>
        <v>Small</v>
      </c>
    </row>
    <row r="264" spans="1:15">
      <c r="A264">
        <v>111</v>
      </c>
      <c r="B264">
        <v>2021</v>
      </c>
      <c r="C264" t="str">
        <f>VLOOKUP(SalaryInfo[[#This Row],[experience_level]],Experience[],2,FALSE)</f>
        <v>Senior</v>
      </c>
      <c r="D264" t="s">
        <v>17</v>
      </c>
      <c r="E264" t="str">
        <f>VLOOKUP(SalaryInfo[[#This Row],[employment_type]],EmpType[],2,FALSE)</f>
        <v>Full Time</v>
      </c>
      <c r="F264" t="s">
        <v>12</v>
      </c>
      <c r="G264" t="s">
        <v>94</v>
      </c>
      <c r="H264">
        <v>82500</v>
      </c>
      <c r="I264" t="s">
        <v>23</v>
      </c>
      <c r="J264">
        <v>113476</v>
      </c>
      <c r="K264" t="s">
        <v>24</v>
      </c>
      <c r="L264">
        <v>100</v>
      </c>
      <c r="M264" t="s">
        <v>24</v>
      </c>
      <c r="N264" t="s">
        <v>25</v>
      </c>
      <c r="O264" t="str">
        <f>VLOOKUP(SalaryInfo[[#This Row],[company_size]],CompanySize[],2,FALSE)</f>
        <v>Medium</v>
      </c>
    </row>
    <row r="265" spans="1:15">
      <c r="A265">
        <v>348</v>
      </c>
      <c r="B265">
        <v>2022</v>
      </c>
      <c r="C265" t="str">
        <f>VLOOKUP(SalaryInfo[[#This Row],[experience_level]],Experience[],2,FALSE)</f>
        <v>Senior</v>
      </c>
      <c r="D265" t="s">
        <v>17</v>
      </c>
      <c r="E265" t="str">
        <f>VLOOKUP(SalaryInfo[[#This Row],[employment_type]],EmpType[],2,FALSE)</f>
        <v>Full Time</v>
      </c>
      <c r="F265" t="s">
        <v>12</v>
      </c>
      <c r="G265" t="s">
        <v>43</v>
      </c>
      <c r="H265">
        <v>113000</v>
      </c>
      <c r="I265" t="s">
        <v>19</v>
      </c>
      <c r="J265">
        <v>113000</v>
      </c>
      <c r="K265" t="s">
        <v>29</v>
      </c>
      <c r="L265">
        <v>0</v>
      </c>
      <c r="M265" t="s">
        <v>29</v>
      </c>
      <c r="N265" t="s">
        <v>16</v>
      </c>
      <c r="O265" t="str">
        <f>VLOOKUP(SalaryInfo[[#This Row],[company_size]],CompanySize[],2,FALSE)</f>
        <v>Large</v>
      </c>
    </row>
    <row r="266" spans="1:15">
      <c r="A266">
        <v>330</v>
      </c>
      <c r="B266">
        <v>2022</v>
      </c>
      <c r="C266" t="str">
        <f>VLOOKUP(SalaryInfo[[#This Row],[experience_level]],Experience[],2,FALSE)</f>
        <v>Senior</v>
      </c>
      <c r="D266" t="s">
        <v>17</v>
      </c>
      <c r="E266" t="str">
        <f>VLOOKUP(SalaryInfo[[#This Row],[employment_type]],EmpType[],2,FALSE)</f>
        <v>Full Time</v>
      </c>
      <c r="F266" t="s">
        <v>12</v>
      </c>
      <c r="G266" t="s">
        <v>31</v>
      </c>
      <c r="H266">
        <v>112900</v>
      </c>
      <c r="I266" t="s">
        <v>19</v>
      </c>
      <c r="J266">
        <v>112900</v>
      </c>
      <c r="K266" t="s">
        <v>29</v>
      </c>
      <c r="L266">
        <v>100</v>
      </c>
      <c r="M266" t="s">
        <v>29</v>
      </c>
      <c r="N266" t="s">
        <v>25</v>
      </c>
      <c r="O266" t="str">
        <f>VLOOKUP(SalaryInfo[[#This Row],[company_size]],CompanySize[],2,FALSE)</f>
        <v>Medium</v>
      </c>
    </row>
    <row r="267" spans="1:15">
      <c r="A267">
        <v>332</v>
      </c>
      <c r="B267">
        <v>2022</v>
      </c>
      <c r="C267" t="str">
        <f>VLOOKUP(SalaryInfo[[#This Row],[experience_level]],Experience[],2,FALSE)</f>
        <v>Senior</v>
      </c>
      <c r="D267" t="s">
        <v>17</v>
      </c>
      <c r="E267" t="str">
        <f>VLOOKUP(SalaryInfo[[#This Row],[employment_type]],EmpType[],2,FALSE)</f>
        <v>Full Time</v>
      </c>
      <c r="F267" t="s">
        <v>12</v>
      </c>
      <c r="G267" t="s">
        <v>31</v>
      </c>
      <c r="H267">
        <v>112900</v>
      </c>
      <c r="I267" t="s">
        <v>19</v>
      </c>
      <c r="J267">
        <v>112900</v>
      </c>
      <c r="K267" t="s">
        <v>29</v>
      </c>
      <c r="L267">
        <v>100</v>
      </c>
      <c r="M267" t="s">
        <v>29</v>
      </c>
      <c r="N267" t="s">
        <v>25</v>
      </c>
      <c r="O267" t="str">
        <f>VLOOKUP(SalaryInfo[[#This Row],[company_size]],CompanySize[],2,FALSE)</f>
        <v>Medium</v>
      </c>
    </row>
    <row r="268" spans="1:15">
      <c r="A268">
        <v>392</v>
      </c>
      <c r="B268">
        <v>2022</v>
      </c>
      <c r="C268" t="str">
        <f>VLOOKUP(SalaryInfo[[#This Row],[experience_level]],Experience[],2,FALSE)</f>
        <v>Senior</v>
      </c>
      <c r="D268" t="s">
        <v>17</v>
      </c>
      <c r="E268" t="str">
        <f>VLOOKUP(SalaryInfo[[#This Row],[employment_type]],EmpType[],2,FALSE)</f>
        <v>Full Time</v>
      </c>
      <c r="F268" t="s">
        <v>12</v>
      </c>
      <c r="G268" t="s">
        <v>31</v>
      </c>
      <c r="H268">
        <v>112900</v>
      </c>
      <c r="I268" t="s">
        <v>19</v>
      </c>
      <c r="J268">
        <v>112900</v>
      </c>
      <c r="K268" t="s">
        <v>29</v>
      </c>
      <c r="L268">
        <v>100</v>
      </c>
      <c r="M268" t="s">
        <v>29</v>
      </c>
      <c r="N268" t="s">
        <v>25</v>
      </c>
      <c r="O268" t="str">
        <f>VLOOKUP(SalaryInfo[[#This Row],[company_size]],CompanySize[],2,FALSE)</f>
        <v>Medium</v>
      </c>
    </row>
    <row r="269" spans="1:15">
      <c r="A269">
        <v>536</v>
      </c>
      <c r="B269">
        <v>2022</v>
      </c>
      <c r="C269" t="str">
        <f>VLOOKUP(SalaryInfo[[#This Row],[experience_level]],Experience[],2,FALSE)</f>
        <v>Senior</v>
      </c>
      <c r="D269" t="s">
        <v>17</v>
      </c>
      <c r="E269" t="str">
        <f>VLOOKUP(SalaryInfo[[#This Row],[employment_type]],EmpType[],2,FALSE)</f>
        <v>Full Time</v>
      </c>
      <c r="F269" t="s">
        <v>12</v>
      </c>
      <c r="G269" t="s">
        <v>31</v>
      </c>
      <c r="H269">
        <v>112900</v>
      </c>
      <c r="I269" t="s">
        <v>19</v>
      </c>
      <c r="J269">
        <v>112900</v>
      </c>
      <c r="K269" t="s">
        <v>29</v>
      </c>
      <c r="L269">
        <v>100</v>
      </c>
      <c r="M269" t="s">
        <v>29</v>
      </c>
      <c r="N269" t="s">
        <v>25</v>
      </c>
      <c r="O269" t="str">
        <f>VLOOKUP(SalaryInfo[[#This Row],[company_size]],CompanySize[],2,FALSE)</f>
        <v>Medium</v>
      </c>
    </row>
    <row r="270" spans="1:15">
      <c r="A270">
        <v>44</v>
      </c>
      <c r="B270">
        <v>2020</v>
      </c>
      <c r="C270" t="str">
        <f>VLOOKUP(SalaryInfo[[#This Row],[experience_level]],Experience[],2,FALSE)</f>
        <v>Intermediate</v>
      </c>
      <c r="D270" t="s">
        <v>11</v>
      </c>
      <c r="E270" t="str">
        <f>VLOOKUP(SalaryInfo[[#This Row],[employment_type]],EmpType[],2,FALSE)</f>
        <v>Full Time</v>
      </c>
      <c r="F270" t="s">
        <v>12</v>
      </c>
      <c r="G270" t="s">
        <v>43</v>
      </c>
      <c r="H270">
        <v>88000</v>
      </c>
      <c r="I270" t="s">
        <v>23</v>
      </c>
      <c r="J270">
        <v>112872</v>
      </c>
      <c r="K270" t="s">
        <v>24</v>
      </c>
      <c r="L270">
        <v>50</v>
      </c>
      <c r="M270" t="s">
        <v>24</v>
      </c>
      <c r="N270" t="s">
        <v>16</v>
      </c>
      <c r="O270" t="str">
        <f>VLOOKUP(SalaryInfo[[#This Row],[company_size]],CompanySize[],2,FALSE)</f>
        <v>Large</v>
      </c>
    </row>
    <row r="271" spans="1:15">
      <c r="A271">
        <v>420</v>
      </c>
      <c r="B271">
        <v>2022</v>
      </c>
      <c r="C271" t="str">
        <f>VLOOKUP(SalaryInfo[[#This Row],[experience_level]],Experience[],2,FALSE)</f>
        <v>Intermediate</v>
      </c>
      <c r="D271" t="s">
        <v>11</v>
      </c>
      <c r="E271" t="str">
        <f>VLOOKUP(SalaryInfo[[#This Row],[employment_type]],EmpType[],2,FALSE)</f>
        <v>Full Time</v>
      </c>
      <c r="F271" t="s">
        <v>12</v>
      </c>
      <c r="G271" t="s">
        <v>18</v>
      </c>
      <c r="H271">
        <v>112300</v>
      </c>
      <c r="I271" t="s">
        <v>19</v>
      </c>
      <c r="J271">
        <v>112300</v>
      </c>
      <c r="K271" t="s">
        <v>29</v>
      </c>
      <c r="L271">
        <v>100</v>
      </c>
      <c r="M271" t="s">
        <v>29</v>
      </c>
      <c r="N271" t="s">
        <v>16</v>
      </c>
      <c r="O271" t="str">
        <f>VLOOKUP(SalaryInfo[[#This Row],[company_size]],CompanySize[],2,FALSE)</f>
        <v>Large</v>
      </c>
    </row>
    <row r="272" spans="1:15">
      <c r="A272">
        <v>280</v>
      </c>
      <c r="B272">
        <v>2021</v>
      </c>
      <c r="C272" t="str">
        <f>VLOOKUP(SalaryInfo[[#This Row],[experience_level]],Experience[],2,FALSE)</f>
        <v>Intermediate</v>
      </c>
      <c r="D272" t="s">
        <v>11</v>
      </c>
      <c r="E272" t="str">
        <f>VLOOKUP(SalaryInfo[[#This Row],[employment_type]],EmpType[],2,FALSE)</f>
        <v>Full Time</v>
      </c>
      <c r="F272" t="s">
        <v>12</v>
      </c>
      <c r="G272" t="s">
        <v>43</v>
      </c>
      <c r="H272">
        <v>112000</v>
      </c>
      <c r="I272" t="s">
        <v>19</v>
      </c>
      <c r="J272">
        <v>112000</v>
      </c>
      <c r="K272" t="s">
        <v>29</v>
      </c>
      <c r="L272">
        <v>100</v>
      </c>
      <c r="M272" t="s">
        <v>29</v>
      </c>
      <c r="N272" t="s">
        <v>16</v>
      </c>
      <c r="O272" t="str">
        <f>VLOOKUP(SalaryInfo[[#This Row],[company_size]],CompanySize[],2,FALSE)</f>
        <v>Large</v>
      </c>
    </row>
    <row r="273" spans="1:15">
      <c r="A273">
        <v>267</v>
      </c>
      <c r="B273">
        <v>2021</v>
      </c>
      <c r="C273" t="str">
        <f>VLOOKUP(SalaryInfo[[#This Row],[experience_level]],Experience[],2,FALSE)</f>
        <v>Intermediate</v>
      </c>
      <c r="D273" t="s">
        <v>11</v>
      </c>
      <c r="E273" t="str">
        <f>VLOOKUP(SalaryInfo[[#This Row],[employment_type]],EmpType[],2,FALSE)</f>
        <v>Full Time</v>
      </c>
      <c r="F273" t="s">
        <v>12</v>
      </c>
      <c r="G273" t="s">
        <v>43</v>
      </c>
      <c r="H273">
        <v>111775</v>
      </c>
      <c r="I273" t="s">
        <v>19</v>
      </c>
      <c r="J273">
        <v>111775</v>
      </c>
      <c r="K273" t="s">
        <v>29</v>
      </c>
      <c r="L273">
        <v>0</v>
      </c>
      <c r="M273" t="s">
        <v>29</v>
      </c>
      <c r="N273" t="s">
        <v>25</v>
      </c>
      <c r="O273" t="str">
        <f>VLOOKUP(SalaryInfo[[#This Row],[company_size]],CompanySize[],2,FALSE)</f>
        <v>Medium</v>
      </c>
    </row>
    <row r="274" spans="1:15">
      <c r="A274">
        <v>585</v>
      </c>
      <c r="B274">
        <v>2022</v>
      </c>
      <c r="C274" t="str">
        <f>VLOOKUP(SalaryInfo[[#This Row],[experience_level]],Experience[],2,FALSE)</f>
        <v>Senior</v>
      </c>
      <c r="D274" t="s">
        <v>17</v>
      </c>
      <c r="E274" t="str">
        <f>VLOOKUP(SalaryInfo[[#This Row],[employment_type]],EmpType[],2,FALSE)</f>
        <v>Full Time</v>
      </c>
      <c r="F274" t="s">
        <v>12</v>
      </c>
      <c r="G274" t="s">
        <v>31</v>
      </c>
      <c r="H274">
        <v>110925</v>
      </c>
      <c r="I274" t="s">
        <v>19</v>
      </c>
      <c r="J274">
        <v>110925</v>
      </c>
      <c r="K274" t="s">
        <v>29</v>
      </c>
      <c r="L274">
        <v>100</v>
      </c>
      <c r="M274" t="s">
        <v>29</v>
      </c>
      <c r="N274" t="s">
        <v>25</v>
      </c>
      <c r="O274" t="str">
        <f>VLOOKUP(SalaryInfo[[#This Row],[company_size]],CompanySize[],2,FALSE)</f>
        <v>Medium</v>
      </c>
    </row>
    <row r="275" spans="1:15">
      <c r="A275">
        <v>546</v>
      </c>
      <c r="B275">
        <v>2022</v>
      </c>
      <c r="C275" t="str">
        <f>VLOOKUP(SalaryInfo[[#This Row],[experience_level]],Experience[],2,FALSE)</f>
        <v>Senior</v>
      </c>
      <c r="D275" t="s">
        <v>17</v>
      </c>
      <c r="E275" t="str">
        <f>VLOOKUP(SalaryInfo[[#This Row],[employment_type]],EmpType[],2,FALSE)</f>
        <v>Full Time</v>
      </c>
      <c r="F275" t="s">
        <v>12</v>
      </c>
      <c r="G275" t="s">
        <v>43</v>
      </c>
      <c r="H275">
        <v>110500</v>
      </c>
      <c r="I275" t="s">
        <v>19</v>
      </c>
      <c r="J275">
        <v>110500</v>
      </c>
      <c r="K275" t="s">
        <v>29</v>
      </c>
      <c r="L275">
        <v>100</v>
      </c>
      <c r="M275" t="s">
        <v>29</v>
      </c>
      <c r="N275" t="s">
        <v>25</v>
      </c>
      <c r="O275" t="str">
        <f>VLOOKUP(SalaryInfo[[#This Row],[company_size]],CompanySize[],2,FALSE)</f>
        <v>Medium</v>
      </c>
    </row>
    <row r="276" spans="1:15">
      <c r="A276">
        <v>123</v>
      </c>
      <c r="B276">
        <v>2021</v>
      </c>
      <c r="C276" t="str">
        <f>VLOOKUP(SalaryInfo[[#This Row],[experience_level]],Experience[],2,FALSE)</f>
        <v>Junior</v>
      </c>
      <c r="D276" t="s">
        <v>30</v>
      </c>
      <c r="E276" t="str">
        <f>VLOOKUP(SalaryInfo[[#This Row],[employment_type]],EmpType[],2,FALSE)</f>
        <v>Full Time</v>
      </c>
      <c r="F276" t="s">
        <v>12</v>
      </c>
      <c r="G276" t="s">
        <v>84</v>
      </c>
      <c r="H276">
        <v>80000</v>
      </c>
      <c r="I276" t="s">
        <v>23</v>
      </c>
      <c r="J276">
        <v>110037</v>
      </c>
      <c r="K276" t="s">
        <v>24</v>
      </c>
      <c r="L276">
        <v>0</v>
      </c>
      <c r="M276" t="s">
        <v>24</v>
      </c>
      <c r="N276" t="s">
        <v>16</v>
      </c>
      <c r="O276" t="str">
        <f>VLOOKUP(SalaryInfo[[#This Row],[company_size]],CompanySize[],2,FALSE)</f>
        <v>Large</v>
      </c>
    </row>
    <row r="277" spans="1:15">
      <c r="A277">
        <v>327</v>
      </c>
      <c r="B277">
        <v>2022</v>
      </c>
      <c r="C277" t="str">
        <f>VLOOKUP(SalaryInfo[[#This Row],[experience_level]],Experience[],2,FALSE)</f>
        <v>Director</v>
      </c>
      <c r="D277" t="s">
        <v>53</v>
      </c>
      <c r="E277" t="str">
        <f>VLOOKUP(SalaryInfo[[#This Row],[employment_type]],EmpType[],2,FALSE)</f>
        <v>Full Time</v>
      </c>
      <c r="F277" t="s">
        <v>12</v>
      </c>
      <c r="G277" t="s">
        <v>31</v>
      </c>
      <c r="H277">
        <v>110000</v>
      </c>
      <c r="I277" t="s">
        <v>19</v>
      </c>
      <c r="J277">
        <v>110000</v>
      </c>
      <c r="K277" t="s">
        <v>29</v>
      </c>
      <c r="L277">
        <v>100</v>
      </c>
      <c r="M277" t="s">
        <v>29</v>
      </c>
      <c r="N277" t="s">
        <v>25</v>
      </c>
      <c r="O277" t="str">
        <f>VLOOKUP(SalaryInfo[[#This Row],[company_size]],CompanySize[],2,FALSE)</f>
        <v>Medium</v>
      </c>
    </row>
    <row r="278" spans="1:15">
      <c r="A278">
        <v>60</v>
      </c>
      <c r="B278">
        <v>2020</v>
      </c>
      <c r="C278" t="str">
        <f>VLOOKUP(SalaryInfo[[#This Row],[experience_level]],Experience[],2,FALSE)</f>
        <v>Intermediate</v>
      </c>
      <c r="D278" t="s">
        <v>11</v>
      </c>
      <c r="E278" t="str">
        <f>VLOOKUP(SalaryInfo[[#This Row],[employment_type]],EmpType[],2,FALSE)</f>
        <v>Full Time</v>
      </c>
      <c r="F278" t="s">
        <v>12</v>
      </c>
      <c r="G278" t="s">
        <v>43</v>
      </c>
      <c r="H278">
        <v>110000</v>
      </c>
      <c r="I278" t="s">
        <v>19</v>
      </c>
      <c r="J278">
        <v>110000</v>
      </c>
      <c r="K278" t="s">
        <v>29</v>
      </c>
      <c r="L278">
        <v>100</v>
      </c>
      <c r="M278" t="s">
        <v>29</v>
      </c>
      <c r="N278" t="s">
        <v>16</v>
      </c>
      <c r="O278" t="str">
        <f>VLOOKUP(SalaryInfo[[#This Row],[company_size]],CompanySize[],2,FALSE)</f>
        <v>Large</v>
      </c>
    </row>
    <row r="279" spans="1:15">
      <c r="A279">
        <v>87</v>
      </c>
      <c r="B279">
        <v>2021</v>
      </c>
      <c r="C279" t="str">
        <f>VLOOKUP(SalaryInfo[[#This Row],[experience_level]],Experience[],2,FALSE)</f>
        <v>Intermediate</v>
      </c>
      <c r="D279" t="s">
        <v>11</v>
      </c>
      <c r="E279" t="str">
        <f>VLOOKUP(SalaryInfo[[#This Row],[employment_type]],EmpType[],2,FALSE)</f>
        <v>Full Time</v>
      </c>
      <c r="F279" t="s">
        <v>12</v>
      </c>
      <c r="G279" t="s">
        <v>83</v>
      </c>
      <c r="H279">
        <v>110000</v>
      </c>
      <c r="I279" t="s">
        <v>19</v>
      </c>
      <c r="J279">
        <v>110000</v>
      </c>
      <c r="K279" t="s">
        <v>29</v>
      </c>
      <c r="L279">
        <v>100</v>
      </c>
      <c r="M279" t="s">
        <v>29</v>
      </c>
      <c r="N279" t="s">
        <v>16</v>
      </c>
      <c r="O279" t="str">
        <f>VLOOKUP(SalaryInfo[[#This Row],[company_size]],CompanySize[],2,FALSE)</f>
        <v>Large</v>
      </c>
    </row>
    <row r="280" spans="1:15">
      <c r="A280">
        <v>235</v>
      </c>
      <c r="B280">
        <v>2021</v>
      </c>
      <c r="C280" t="str">
        <f>VLOOKUP(SalaryInfo[[#This Row],[experience_level]],Experience[],2,FALSE)</f>
        <v>Intermediate</v>
      </c>
      <c r="D280" t="s">
        <v>11</v>
      </c>
      <c r="E280" t="str">
        <f>VLOOKUP(SalaryInfo[[#This Row],[employment_type]],EmpType[],2,FALSE)</f>
        <v>Full Time</v>
      </c>
      <c r="F280" t="s">
        <v>12</v>
      </c>
      <c r="G280" t="s">
        <v>106</v>
      </c>
      <c r="H280">
        <v>110000</v>
      </c>
      <c r="I280" t="s">
        <v>19</v>
      </c>
      <c r="J280">
        <v>110000</v>
      </c>
      <c r="K280" t="s">
        <v>29</v>
      </c>
      <c r="L280">
        <v>0</v>
      </c>
      <c r="M280" t="s">
        <v>29</v>
      </c>
      <c r="N280" t="s">
        <v>21</v>
      </c>
      <c r="O280" t="str">
        <f>VLOOKUP(SalaryInfo[[#This Row],[company_size]],CompanySize[],2,FALSE)</f>
        <v>Small</v>
      </c>
    </row>
    <row r="281" spans="1:15">
      <c r="A281">
        <v>242</v>
      </c>
      <c r="B281">
        <v>2021</v>
      </c>
      <c r="C281" t="str">
        <f>VLOOKUP(SalaryInfo[[#This Row],[experience_level]],Experience[],2,FALSE)</f>
        <v>Intermediate</v>
      </c>
      <c r="D281" t="s">
        <v>11</v>
      </c>
      <c r="E281" t="str">
        <f>VLOOKUP(SalaryInfo[[#This Row],[employment_type]],EmpType[],2,FALSE)</f>
        <v>Full Time</v>
      </c>
      <c r="F281" t="s">
        <v>12</v>
      </c>
      <c r="G281" t="s">
        <v>43</v>
      </c>
      <c r="H281">
        <v>110000</v>
      </c>
      <c r="I281" t="s">
        <v>19</v>
      </c>
      <c r="J281">
        <v>110000</v>
      </c>
      <c r="K281" t="s">
        <v>29</v>
      </c>
      <c r="L281">
        <v>100</v>
      </c>
      <c r="M281" t="s">
        <v>29</v>
      </c>
      <c r="N281" t="s">
        <v>16</v>
      </c>
      <c r="O281" t="str">
        <f>VLOOKUP(SalaryInfo[[#This Row],[company_size]],CompanySize[],2,FALSE)</f>
        <v>Large</v>
      </c>
    </row>
    <row r="282" spans="1:15">
      <c r="A282">
        <v>339</v>
      </c>
      <c r="B282">
        <v>2022</v>
      </c>
      <c r="C282" t="str">
        <f>VLOOKUP(SalaryInfo[[#This Row],[experience_level]],Experience[],2,FALSE)</f>
        <v>Senior</v>
      </c>
      <c r="D282" t="s">
        <v>17</v>
      </c>
      <c r="E282" t="str">
        <f>VLOOKUP(SalaryInfo[[#This Row],[employment_type]],EmpType[],2,FALSE)</f>
        <v>Full Time</v>
      </c>
      <c r="F282" t="s">
        <v>12</v>
      </c>
      <c r="G282" t="s">
        <v>31</v>
      </c>
      <c r="H282">
        <v>109280</v>
      </c>
      <c r="I282" t="s">
        <v>19</v>
      </c>
      <c r="J282">
        <v>109280</v>
      </c>
      <c r="K282" t="s">
        <v>29</v>
      </c>
      <c r="L282">
        <v>100</v>
      </c>
      <c r="M282" t="s">
        <v>29</v>
      </c>
      <c r="N282" t="s">
        <v>25</v>
      </c>
      <c r="O282" t="str">
        <f>VLOOKUP(SalaryInfo[[#This Row],[company_size]],CompanySize[],2,FALSE)</f>
        <v>Medium</v>
      </c>
    </row>
    <row r="283" spans="1:15">
      <c r="A283">
        <v>595</v>
      </c>
      <c r="B283">
        <v>2022</v>
      </c>
      <c r="C283" t="str">
        <f>VLOOKUP(SalaryInfo[[#This Row],[experience_level]],Experience[],2,FALSE)</f>
        <v>Senior</v>
      </c>
      <c r="D283" t="s">
        <v>17</v>
      </c>
      <c r="E283" t="str">
        <f>VLOOKUP(SalaryInfo[[#This Row],[employment_type]],EmpType[],2,FALSE)</f>
        <v>Full Time</v>
      </c>
      <c r="F283" t="s">
        <v>12</v>
      </c>
      <c r="G283" t="s">
        <v>105</v>
      </c>
      <c r="H283">
        <v>109280</v>
      </c>
      <c r="I283" t="s">
        <v>19</v>
      </c>
      <c r="J283">
        <v>109280</v>
      </c>
      <c r="K283" t="s">
        <v>29</v>
      </c>
      <c r="L283">
        <v>100</v>
      </c>
      <c r="M283" t="s">
        <v>29</v>
      </c>
      <c r="N283" t="s">
        <v>25</v>
      </c>
      <c r="O283" t="str">
        <f>VLOOKUP(SalaryInfo[[#This Row],[company_size]],CompanySize[],2,FALSE)</f>
        <v>Medium</v>
      </c>
    </row>
    <row r="284" spans="1:15">
      <c r="A284">
        <v>2</v>
      </c>
      <c r="B284">
        <v>2020</v>
      </c>
      <c r="C284" t="str">
        <f>VLOOKUP(SalaryInfo[[#This Row],[experience_level]],Experience[],2,FALSE)</f>
        <v>Senior</v>
      </c>
      <c r="D284" t="s">
        <v>17</v>
      </c>
      <c r="E284" t="str">
        <f>VLOOKUP(SalaryInfo[[#This Row],[employment_type]],EmpType[],2,FALSE)</f>
        <v>Full Time</v>
      </c>
      <c r="F284" t="s">
        <v>12</v>
      </c>
      <c r="G284" t="s">
        <v>22</v>
      </c>
      <c r="H284">
        <v>85000</v>
      </c>
      <c r="I284" t="s">
        <v>23</v>
      </c>
      <c r="J284">
        <v>109024</v>
      </c>
      <c r="K284" t="s">
        <v>24</v>
      </c>
      <c r="L284">
        <v>50</v>
      </c>
      <c r="M284" t="s">
        <v>24</v>
      </c>
      <c r="N284" t="s">
        <v>25</v>
      </c>
      <c r="O284" t="str">
        <f>VLOOKUP(SalaryInfo[[#This Row],[company_size]],CompanySize[],2,FALSE)</f>
        <v>Medium</v>
      </c>
    </row>
    <row r="285" spans="1:15">
      <c r="A285">
        <v>287</v>
      </c>
      <c r="B285">
        <v>2021</v>
      </c>
      <c r="C285" t="str">
        <f>VLOOKUP(SalaryInfo[[#This Row],[experience_level]],Experience[],2,FALSE)</f>
        <v>Intermediate</v>
      </c>
      <c r="D285" t="s">
        <v>11</v>
      </c>
      <c r="E285" t="str">
        <f>VLOOKUP(SalaryInfo[[#This Row],[employment_type]],EmpType[],2,FALSE)</f>
        <v>Full Time</v>
      </c>
      <c r="F285" t="s">
        <v>12</v>
      </c>
      <c r="G285" t="s">
        <v>13</v>
      </c>
      <c r="H285">
        <v>109000</v>
      </c>
      <c r="I285" t="s">
        <v>19</v>
      </c>
      <c r="J285">
        <v>109000</v>
      </c>
      <c r="K285" t="s">
        <v>29</v>
      </c>
      <c r="L285">
        <v>50</v>
      </c>
      <c r="M285" t="s">
        <v>29</v>
      </c>
      <c r="N285" t="s">
        <v>16</v>
      </c>
      <c r="O285" t="str">
        <f>VLOOKUP(SalaryInfo[[#This Row],[company_size]],CompanySize[],2,FALSE)</f>
        <v>Large</v>
      </c>
    </row>
    <row r="286" spans="1:15">
      <c r="A286">
        <v>346</v>
      </c>
      <c r="B286">
        <v>2022</v>
      </c>
      <c r="C286" t="str">
        <f>VLOOKUP(SalaryInfo[[#This Row],[experience_level]],Experience[],2,FALSE)</f>
        <v>Senior</v>
      </c>
      <c r="D286" t="s">
        <v>17</v>
      </c>
      <c r="E286" t="str">
        <f>VLOOKUP(SalaryInfo[[#This Row],[employment_type]],EmpType[],2,FALSE)</f>
        <v>Full Time</v>
      </c>
      <c r="F286" t="s">
        <v>12</v>
      </c>
      <c r="G286" t="s">
        <v>43</v>
      </c>
      <c r="H286">
        <v>108800</v>
      </c>
      <c r="I286" t="s">
        <v>19</v>
      </c>
      <c r="J286">
        <v>108800</v>
      </c>
      <c r="K286" t="s">
        <v>29</v>
      </c>
      <c r="L286">
        <v>0</v>
      </c>
      <c r="M286" t="s">
        <v>29</v>
      </c>
      <c r="N286" t="s">
        <v>25</v>
      </c>
      <c r="O286" t="str">
        <f>VLOOKUP(SalaryInfo[[#This Row],[company_size]],CompanySize[],2,FALSE)</f>
        <v>Medium</v>
      </c>
    </row>
    <row r="287" spans="1:15">
      <c r="A287">
        <v>307</v>
      </c>
      <c r="B287">
        <v>2022</v>
      </c>
      <c r="C287" t="str">
        <f>VLOOKUP(SalaryInfo[[#This Row],[experience_level]],Experience[],2,FALSE)</f>
        <v>Intermediate</v>
      </c>
      <c r="D287" t="s">
        <v>11</v>
      </c>
      <c r="E287" t="str">
        <f>VLOOKUP(SalaryInfo[[#This Row],[employment_type]],EmpType[],2,FALSE)</f>
        <v>Full Time</v>
      </c>
      <c r="F287" t="s">
        <v>12</v>
      </c>
      <c r="G287" t="s">
        <v>31</v>
      </c>
      <c r="H287">
        <v>106260</v>
      </c>
      <c r="I287" t="s">
        <v>19</v>
      </c>
      <c r="J287">
        <v>106260</v>
      </c>
      <c r="K287" t="s">
        <v>29</v>
      </c>
      <c r="L287">
        <v>0</v>
      </c>
      <c r="M287" t="s">
        <v>29</v>
      </c>
      <c r="N287" t="s">
        <v>25</v>
      </c>
      <c r="O287" t="str">
        <f>VLOOKUP(SalaryInfo[[#This Row],[company_size]],CompanySize[],2,FALSE)</f>
        <v>Medium</v>
      </c>
    </row>
    <row r="288" spans="1:15">
      <c r="A288">
        <v>581</v>
      </c>
      <c r="B288">
        <v>2022</v>
      </c>
      <c r="C288" t="str">
        <f>VLOOKUP(SalaryInfo[[#This Row],[experience_level]],Experience[],2,FALSE)</f>
        <v>Senior</v>
      </c>
      <c r="D288" t="s">
        <v>17</v>
      </c>
      <c r="E288" t="str">
        <f>VLOOKUP(SalaryInfo[[#This Row],[employment_type]],EmpType[],2,FALSE)</f>
        <v>Full Time</v>
      </c>
      <c r="F288" t="s">
        <v>12</v>
      </c>
      <c r="G288" t="s">
        <v>31</v>
      </c>
      <c r="H288">
        <v>106260</v>
      </c>
      <c r="I288" t="s">
        <v>19</v>
      </c>
      <c r="J288">
        <v>106260</v>
      </c>
      <c r="K288" t="s">
        <v>29</v>
      </c>
      <c r="L288">
        <v>100</v>
      </c>
      <c r="M288" t="s">
        <v>29</v>
      </c>
      <c r="N288" t="s">
        <v>25</v>
      </c>
      <c r="O288" t="str">
        <f>VLOOKUP(SalaryInfo[[#This Row],[company_size]],CompanySize[],2,FALSE)</f>
        <v>Medium</v>
      </c>
    </row>
    <row r="289" spans="1:15">
      <c r="A289">
        <v>43</v>
      </c>
      <c r="B289">
        <v>2020</v>
      </c>
      <c r="C289" t="str">
        <f>VLOOKUP(SalaryInfo[[#This Row],[experience_level]],Experience[],2,FALSE)</f>
        <v>Intermediate</v>
      </c>
      <c r="D289" t="s">
        <v>11</v>
      </c>
      <c r="E289" t="str">
        <f>VLOOKUP(SalaryInfo[[#This Row],[employment_type]],EmpType[],2,FALSE)</f>
        <v>Full Time</v>
      </c>
      <c r="F289" t="s">
        <v>12</v>
      </c>
      <c r="G289" t="s">
        <v>43</v>
      </c>
      <c r="H289">
        <v>106000</v>
      </c>
      <c r="I289" t="s">
        <v>19</v>
      </c>
      <c r="J289">
        <v>106000</v>
      </c>
      <c r="K289" t="s">
        <v>29</v>
      </c>
      <c r="L289">
        <v>100</v>
      </c>
      <c r="M289" t="s">
        <v>29</v>
      </c>
      <c r="N289" t="s">
        <v>16</v>
      </c>
      <c r="O289" t="str">
        <f>VLOOKUP(SalaryInfo[[#This Row],[company_size]],CompanySize[],2,FALSE)</f>
        <v>Large</v>
      </c>
    </row>
    <row r="290" spans="1:15">
      <c r="A290">
        <v>395</v>
      </c>
      <c r="B290">
        <v>2022</v>
      </c>
      <c r="C290" t="str">
        <f>VLOOKUP(SalaryInfo[[#This Row],[experience_level]],Experience[],2,FALSE)</f>
        <v>Senior</v>
      </c>
      <c r="D290" t="s">
        <v>17</v>
      </c>
      <c r="E290" t="str">
        <f>VLOOKUP(SalaryInfo[[#This Row],[employment_type]],EmpType[],2,FALSE)</f>
        <v>Full Time</v>
      </c>
      <c r="F290" t="s">
        <v>12</v>
      </c>
      <c r="G290" t="s">
        <v>105</v>
      </c>
      <c r="H290">
        <v>105400</v>
      </c>
      <c r="I290" t="s">
        <v>19</v>
      </c>
      <c r="J290">
        <v>105400</v>
      </c>
      <c r="K290" t="s">
        <v>29</v>
      </c>
      <c r="L290">
        <v>100</v>
      </c>
      <c r="M290" t="s">
        <v>29</v>
      </c>
      <c r="N290" t="s">
        <v>25</v>
      </c>
      <c r="O290" t="str">
        <f>VLOOKUP(SalaryInfo[[#This Row],[company_size]],CompanySize[],2,FALSE)</f>
        <v>Medium</v>
      </c>
    </row>
    <row r="291" spans="1:15">
      <c r="A291">
        <v>68</v>
      </c>
      <c r="B291">
        <v>2020</v>
      </c>
      <c r="C291" t="str">
        <f>VLOOKUP(SalaryInfo[[#This Row],[experience_level]],Experience[],2,FALSE)</f>
        <v>Junior</v>
      </c>
      <c r="D291" t="s">
        <v>30</v>
      </c>
      <c r="E291" t="str">
        <f>VLOOKUP(SalaryInfo[[#This Row],[employment_type]],EmpType[],2,FALSE)</f>
        <v>Full Time</v>
      </c>
      <c r="F291" t="s">
        <v>12</v>
      </c>
      <c r="G291" t="s">
        <v>13</v>
      </c>
      <c r="H291">
        <v>105000</v>
      </c>
      <c r="I291" t="s">
        <v>19</v>
      </c>
      <c r="J291">
        <v>105000</v>
      </c>
      <c r="K291" t="s">
        <v>29</v>
      </c>
      <c r="L291">
        <v>100</v>
      </c>
      <c r="M291" t="s">
        <v>29</v>
      </c>
      <c r="N291" t="s">
        <v>21</v>
      </c>
      <c r="O291" t="str">
        <f>VLOOKUP(SalaryInfo[[#This Row],[company_size]],CompanySize[],2,FALSE)</f>
        <v>Small</v>
      </c>
    </row>
    <row r="292" spans="1:15">
      <c r="A292">
        <v>283</v>
      </c>
      <c r="B292">
        <v>2021</v>
      </c>
      <c r="C292" t="str">
        <f>VLOOKUP(SalaryInfo[[#This Row],[experience_level]],Experience[],2,FALSE)</f>
        <v>Senior</v>
      </c>
      <c r="D292" t="s">
        <v>17</v>
      </c>
      <c r="E292" t="str">
        <f>VLOOKUP(SalaryInfo[[#This Row],[employment_type]],EmpType[],2,FALSE)</f>
        <v>Contract</v>
      </c>
      <c r="F292" t="s">
        <v>59</v>
      </c>
      <c r="G292" t="s">
        <v>129</v>
      </c>
      <c r="H292">
        <v>105000</v>
      </c>
      <c r="I292" t="s">
        <v>19</v>
      </c>
      <c r="J292">
        <v>105000</v>
      </c>
      <c r="K292" t="s">
        <v>29</v>
      </c>
      <c r="L292">
        <v>100</v>
      </c>
      <c r="M292" t="s">
        <v>29</v>
      </c>
      <c r="N292" t="s">
        <v>25</v>
      </c>
      <c r="O292" t="str">
        <f>VLOOKUP(SalaryInfo[[#This Row],[company_size]],CompanySize[],2,FALSE)</f>
        <v>Medium</v>
      </c>
    </row>
    <row r="293" spans="1:15">
      <c r="A293">
        <v>48</v>
      </c>
      <c r="B293">
        <v>2020</v>
      </c>
      <c r="C293" t="str">
        <f>VLOOKUP(SalaryInfo[[#This Row],[experience_level]],Experience[],2,FALSE)</f>
        <v>Intermediate</v>
      </c>
      <c r="D293" t="s">
        <v>11</v>
      </c>
      <c r="E293" t="str">
        <f>VLOOKUP(SalaryInfo[[#This Row],[employment_type]],EmpType[],2,FALSE)</f>
        <v>Full Time</v>
      </c>
      <c r="F293" t="s">
        <v>12</v>
      </c>
      <c r="G293" t="s">
        <v>13</v>
      </c>
      <c r="H293">
        <v>105000</v>
      </c>
      <c r="I293" t="s">
        <v>19</v>
      </c>
      <c r="J293">
        <v>105000</v>
      </c>
      <c r="K293" t="s">
        <v>29</v>
      </c>
      <c r="L293">
        <v>100</v>
      </c>
      <c r="M293" t="s">
        <v>29</v>
      </c>
      <c r="N293" t="s">
        <v>16</v>
      </c>
      <c r="O293" t="str">
        <f>VLOOKUP(SalaryInfo[[#This Row],[company_size]],CompanySize[],2,FALSE)</f>
        <v>Large</v>
      </c>
    </row>
    <row r="294" spans="1:15">
      <c r="A294">
        <v>456</v>
      </c>
      <c r="B294">
        <v>2022</v>
      </c>
      <c r="C294" t="str">
        <f>VLOOKUP(SalaryInfo[[#This Row],[experience_level]],Experience[],2,FALSE)</f>
        <v>Senior</v>
      </c>
      <c r="D294" t="s">
        <v>17</v>
      </c>
      <c r="E294" t="str">
        <f>VLOOKUP(SalaryInfo[[#This Row],[employment_type]],EmpType[],2,FALSE)</f>
        <v>Full Time</v>
      </c>
      <c r="F294" t="s">
        <v>12</v>
      </c>
      <c r="G294" t="s">
        <v>43</v>
      </c>
      <c r="H294">
        <v>105000</v>
      </c>
      <c r="I294" t="s">
        <v>19</v>
      </c>
      <c r="J294">
        <v>105000</v>
      </c>
      <c r="K294" t="s">
        <v>29</v>
      </c>
      <c r="L294">
        <v>100</v>
      </c>
      <c r="M294" t="s">
        <v>29</v>
      </c>
      <c r="N294" t="s">
        <v>25</v>
      </c>
      <c r="O294" t="str">
        <f>VLOOKUP(SalaryInfo[[#This Row],[company_size]],CompanySize[],2,FALSE)</f>
        <v>Medium</v>
      </c>
    </row>
    <row r="295" spans="1:15">
      <c r="A295">
        <v>584</v>
      </c>
      <c r="B295">
        <v>2022</v>
      </c>
      <c r="C295" t="str">
        <f>VLOOKUP(SalaryInfo[[#This Row],[experience_level]],Experience[],2,FALSE)</f>
        <v>Senior</v>
      </c>
      <c r="D295" t="s">
        <v>17</v>
      </c>
      <c r="E295" t="str">
        <f>VLOOKUP(SalaryInfo[[#This Row],[employment_type]],EmpType[],2,FALSE)</f>
        <v>Full Time</v>
      </c>
      <c r="F295" t="s">
        <v>12</v>
      </c>
      <c r="G295" t="s">
        <v>31</v>
      </c>
      <c r="H295">
        <v>105000</v>
      </c>
      <c r="I295" t="s">
        <v>19</v>
      </c>
      <c r="J295">
        <v>105000</v>
      </c>
      <c r="K295" t="s">
        <v>29</v>
      </c>
      <c r="L295">
        <v>100</v>
      </c>
      <c r="M295" t="s">
        <v>29</v>
      </c>
      <c r="N295" t="s">
        <v>25</v>
      </c>
      <c r="O295" t="str">
        <f>VLOOKUP(SalaryInfo[[#This Row],[company_size]],CompanySize[],2,FALSE)</f>
        <v>Medium</v>
      </c>
    </row>
    <row r="296" spans="1:15">
      <c r="A296">
        <v>467</v>
      </c>
      <c r="B296">
        <v>2022</v>
      </c>
      <c r="C296" t="str">
        <f>VLOOKUP(SalaryInfo[[#This Row],[experience_level]],Experience[],2,FALSE)</f>
        <v>Senior</v>
      </c>
      <c r="D296" t="s">
        <v>17</v>
      </c>
      <c r="E296" t="str">
        <f>VLOOKUP(SalaryInfo[[#This Row],[employment_type]],EmpType[],2,FALSE)</f>
        <v>Full Time</v>
      </c>
      <c r="F296" t="s">
        <v>12</v>
      </c>
      <c r="G296" t="s">
        <v>13</v>
      </c>
      <c r="H296">
        <v>104890</v>
      </c>
      <c r="I296" t="s">
        <v>19</v>
      </c>
      <c r="J296">
        <v>104890</v>
      </c>
      <c r="K296" t="s">
        <v>29</v>
      </c>
      <c r="L296">
        <v>100</v>
      </c>
      <c r="M296" t="s">
        <v>29</v>
      </c>
      <c r="N296" t="s">
        <v>25</v>
      </c>
      <c r="O296" t="str">
        <f>VLOOKUP(SalaryInfo[[#This Row],[company_size]],CompanySize[],2,FALSE)</f>
        <v>Medium</v>
      </c>
    </row>
    <row r="297" spans="1:15">
      <c r="A297">
        <v>301</v>
      </c>
      <c r="B297">
        <v>2022</v>
      </c>
      <c r="C297" t="str">
        <f>VLOOKUP(SalaryInfo[[#This Row],[experience_level]],Experience[],2,FALSE)</f>
        <v>Senior</v>
      </c>
      <c r="D297" t="s">
        <v>17</v>
      </c>
      <c r="E297" t="str">
        <f>VLOOKUP(SalaryInfo[[#This Row],[employment_type]],EmpType[],2,FALSE)</f>
        <v>Full Time</v>
      </c>
      <c r="F297" t="s">
        <v>12</v>
      </c>
      <c r="G297" t="s">
        <v>13</v>
      </c>
      <c r="H297">
        <v>80000</v>
      </c>
      <c r="I297" t="s">
        <v>23</v>
      </c>
      <c r="J297">
        <v>104702</v>
      </c>
      <c r="K297" t="s">
        <v>24</v>
      </c>
      <c r="L297">
        <v>0</v>
      </c>
      <c r="M297" t="s">
        <v>24</v>
      </c>
      <c r="N297" t="s">
        <v>25</v>
      </c>
      <c r="O297" t="str">
        <f>VLOOKUP(SalaryInfo[[#This Row],[company_size]],CompanySize[],2,FALSE)</f>
        <v>Medium</v>
      </c>
    </row>
    <row r="298" spans="1:15">
      <c r="A298">
        <v>434</v>
      </c>
      <c r="B298">
        <v>2022</v>
      </c>
      <c r="C298" t="str">
        <f>VLOOKUP(SalaryInfo[[#This Row],[experience_level]],Experience[],2,FALSE)</f>
        <v>Intermediate</v>
      </c>
      <c r="D298" t="s">
        <v>11</v>
      </c>
      <c r="E298" t="str">
        <f>VLOOKUP(SalaryInfo[[#This Row],[employment_type]],EmpType[],2,FALSE)</f>
        <v>Full Time</v>
      </c>
      <c r="F298" t="s">
        <v>12</v>
      </c>
      <c r="G298" t="s">
        <v>43</v>
      </c>
      <c r="H298">
        <v>80000</v>
      </c>
      <c r="I298" t="s">
        <v>23</v>
      </c>
      <c r="J298">
        <v>104702</v>
      </c>
      <c r="K298" t="s">
        <v>24</v>
      </c>
      <c r="L298">
        <v>100</v>
      </c>
      <c r="M298" t="s">
        <v>24</v>
      </c>
      <c r="N298" t="s">
        <v>25</v>
      </c>
      <c r="O298" t="str">
        <f>VLOOKUP(SalaryInfo[[#This Row],[company_size]],CompanySize[],2,FALSE)</f>
        <v>Medium</v>
      </c>
    </row>
    <row r="299" spans="1:15">
      <c r="A299">
        <v>240</v>
      </c>
      <c r="B299">
        <v>2021</v>
      </c>
      <c r="C299" t="str">
        <f>VLOOKUP(SalaryInfo[[#This Row],[experience_level]],Experience[],2,FALSE)</f>
        <v>Senior</v>
      </c>
      <c r="D299" t="s">
        <v>17</v>
      </c>
      <c r="E299" t="str">
        <f>VLOOKUP(SalaryInfo[[#This Row],[employment_type]],EmpType[],2,FALSE)</f>
        <v>Full Time</v>
      </c>
      <c r="F299" t="s">
        <v>12</v>
      </c>
      <c r="G299" t="s">
        <v>13</v>
      </c>
      <c r="H299">
        <v>130000</v>
      </c>
      <c r="I299" t="s">
        <v>61</v>
      </c>
      <c r="J299">
        <v>103691</v>
      </c>
      <c r="K299" t="s">
        <v>62</v>
      </c>
      <c r="L299">
        <v>100</v>
      </c>
      <c r="M299" t="s">
        <v>62</v>
      </c>
      <c r="N299" t="s">
        <v>16</v>
      </c>
      <c r="O299" t="str">
        <f>VLOOKUP(SalaryInfo[[#This Row],[company_size]],CompanySize[],2,FALSE)</f>
        <v>Large</v>
      </c>
    </row>
    <row r="300" spans="1:15">
      <c r="A300">
        <v>112</v>
      </c>
      <c r="B300">
        <v>2021</v>
      </c>
      <c r="C300" t="str">
        <f>VLOOKUP(SalaryInfo[[#This Row],[experience_level]],Experience[],2,FALSE)</f>
        <v>Senior</v>
      </c>
      <c r="D300" t="s">
        <v>17</v>
      </c>
      <c r="E300" t="str">
        <f>VLOOKUP(SalaryInfo[[#This Row],[employment_type]],EmpType[],2,FALSE)</f>
        <v>Full Time</v>
      </c>
      <c r="F300" t="s">
        <v>12</v>
      </c>
      <c r="G300" t="s">
        <v>36</v>
      </c>
      <c r="H300">
        <v>75000</v>
      </c>
      <c r="I300" t="s">
        <v>23</v>
      </c>
      <c r="J300">
        <v>103160</v>
      </c>
      <c r="K300" t="s">
        <v>24</v>
      </c>
      <c r="L300">
        <v>100</v>
      </c>
      <c r="M300" t="s">
        <v>24</v>
      </c>
      <c r="N300" t="s">
        <v>21</v>
      </c>
      <c r="O300" t="str">
        <f>VLOOKUP(SalaryInfo[[#This Row],[company_size]],CompanySize[],2,FALSE)</f>
        <v>Small</v>
      </c>
    </row>
    <row r="301" spans="1:15">
      <c r="A301">
        <v>36</v>
      </c>
      <c r="B301">
        <v>2020</v>
      </c>
      <c r="C301" t="str">
        <f>VLOOKUP(SalaryInfo[[#This Row],[experience_level]],Experience[],2,FALSE)</f>
        <v>Intermediate</v>
      </c>
      <c r="D301" t="s">
        <v>11</v>
      </c>
      <c r="E301" t="str">
        <f>VLOOKUP(SalaryInfo[[#This Row],[employment_type]],EmpType[],2,FALSE)</f>
        <v>Full Time</v>
      </c>
      <c r="F301" t="s">
        <v>12</v>
      </c>
      <c r="G301" t="s">
        <v>46</v>
      </c>
      <c r="H301">
        <v>103000</v>
      </c>
      <c r="I301" t="s">
        <v>19</v>
      </c>
      <c r="J301">
        <v>103000</v>
      </c>
      <c r="K301" t="s">
        <v>29</v>
      </c>
      <c r="L301">
        <v>100</v>
      </c>
      <c r="M301" t="s">
        <v>29</v>
      </c>
      <c r="N301" t="s">
        <v>16</v>
      </c>
      <c r="O301" t="str">
        <f>VLOOKUP(SalaryInfo[[#This Row],[company_size]],CompanySize[],2,FALSE)</f>
        <v>Large</v>
      </c>
    </row>
    <row r="302" spans="1:15">
      <c r="A302">
        <v>286</v>
      </c>
      <c r="B302">
        <v>2021</v>
      </c>
      <c r="C302" t="str">
        <f>VLOOKUP(SalaryInfo[[#This Row],[experience_level]],Experience[],2,FALSE)</f>
        <v>Senior</v>
      </c>
      <c r="D302" t="s">
        <v>17</v>
      </c>
      <c r="E302" t="str">
        <f>VLOOKUP(SalaryInfo[[#This Row],[employment_type]],EmpType[],2,FALSE)</f>
        <v>Full Time</v>
      </c>
      <c r="F302" t="s">
        <v>12</v>
      </c>
      <c r="G302" t="s">
        <v>81</v>
      </c>
      <c r="H302">
        <v>87000</v>
      </c>
      <c r="I302" t="s">
        <v>14</v>
      </c>
      <c r="J302">
        <v>102839</v>
      </c>
      <c r="K302" t="s">
        <v>118</v>
      </c>
      <c r="L302">
        <v>100</v>
      </c>
      <c r="M302" t="s">
        <v>118</v>
      </c>
      <c r="N302" t="s">
        <v>16</v>
      </c>
      <c r="O302" t="str">
        <f>VLOOKUP(SalaryInfo[[#This Row],[company_size]],CompanySize[],2,FALSE)</f>
        <v>Large</v>
      </c>
    </row>
    <row r="303" spans="1:15">
      <c r="A303">
        <v>296</v>
      </c>
      <c r="B303">
        <v>2022</v>
      </c>
      <c r="C303" t="str">
        <f>VLOOKUP(SalaryInfo[[#This Row],[experience_level]],Experience[],2,FALSE)</f>
        <v>Senior</v>
      </c>
      <c r="D303" t="s">
        <v>17</v>
      </c>
      <c r="E303" t="str">
        <f>VLOOKUP(SalaryInfo[[#This Row],[employment_type]],EmpType[],2,FALSE)</f>
        <v>Full Time</v>
      </c>
      <c r="F303" t="s">
        <v>12</v>
      </c>
      <c r="G303" t="s">
        <v>31</v>
      </c>
      <c r="H303">
        <v>102100</v>
      </c>
      <c r="I303" t="s">
        <v>19</v>
      </c>
      <c r="J303">
        <v>102100</v>
      </c>
      <c r="K303" t="s">
        <v>29</v>
      </c>
      <c r="L303">
        <v>100</v>
      </c>
      <c r="M303" t="s">
        <v>29</v>
      </c>
      <c r="N303" t="s">
        <v>25</v>
      </c>
      <c r="O303" t="str">
        <f>VLOOKUP(SalaryInfo[[#This Row],[company_size]],CompanySize[],2,FALSE)</f>
        <v>Medium</v>
      </c>
    </row>
    <row r="304" spans="1:15">
      <c r="A304">
        <v>539</v>
      </c>
      <c r="B304">
        <v>2022</v>
      </c>
      <c r="C304" t="str">
        <f>VLOOKUP(SalaryInfo[[#This Row],[experience_level]],Experience[],2,FALSE)</f>
        <v>Intermediate</v>
      </c>
      <c r="D304" t="s">
        <v>11</v>
      </c>
      <c r="E304" t="str">
        <f>VLOOKUP(SalaryInfo[[#This Row],[employment_type]],EmpType[],2,FALSE)</f>
        <v>Full Time</v>
      </c>
      <c r="F304" t="s">
        <v>12</v>
      </c>
      <c r="G304" t="s">
        <v>13</v>
      </c>
      <c r="H304">
        <v>102100</v>
      </c>
      <c r="I304" t="s">
        <v>19</v>
      </c>
      <c r="J304">
        <v>102100</v>
      </c>
      <c r="K304" t="s">
        <v>29</v>
      </c>
      <c r="L304">
        <v>0</v>
      </c>
      <c r="M304" t="s">
        <v>29</v>
      </c>
      <c r="N304" t="s">
        <v>25</v>
      </c>
      <c r="O304" t="str">
        <f>VLOOKUP(SalaryInfo[[#This Row],[company_size]],CompanySize[],2,FALSE)</f>
        <v>Medium</v>
      </c>
    </row>
    <row r="305" spans="1:15">
      <c r="A305">
        <v>381</v>
      </c>
      <c r="B305">
        <v>2022</v>
      </c>
      <c r="C305" t="str">
        <f>VLOOKUP(SalaryInfo[[#This Row],[experience_level]],Experience[],2,FALSE)</f>
        <v>Senior</v>
      </c>
      <c r="D305" t="s">
        <v>17</v>
      </c>
      <c r="E305" t="str">
        <f>VLOOKUP(SalaryInfo[[#This Row],[employment_type]],EmpType[],2,FALSE)</f>
        <v>Full Time</v>
      </c>
      <c r="F305" t="s">
        <v>12</v>
      </c>
      <c r="G305" t="s">
        <v>43</v>
      </c>
      <c r="H305">
        <v>101570</v>
      </c>
      <c r="I305" t="s">
        <v>19</v>
      </c>
      <c r="J305">
        <v>101570</v>
      </c>
      <c r="K305" t="s">
        <v>29</v>
      </c>
      <c r="L305">
        <v>100</v>
      </c>
      <c r="M305" t="s">
        <v>29</v>
      </c>
      <c r="N305" t="s">
        <v>25</v>
      </c>
      <c r="O305" t="str">
        <f>VLOOKUP(SalaryInfo[[#This Row],[company_size]],CompanySize[],2,FALSE)</f>
        <v>Medium</v>
      </c>
    </row>
    <row r="306" spans="1:15">
      <c r="A306">
        <v>426</v>
      </c>
      <c r="B306">
        <v>2022</v>
      </c>
      <c r="C306" t="str">
        <f>VLOOKUP(SalaryInfo[[#This Row],[experience_level]],Experience[],2,FALSE)</f>
        <v>Senior</v>
      </c>
      <c r="D306" t="s">
        <v>17</v>
      </c>
      <c r="E306" t="str">
        <f>VLOOKUP(SalaryInfo[[#This Row],[employment_type]],EmpType[],2,FALSE)</f>
        <v>Full Time</v>
      </c>
      <c r="F306" t="s">
        <v>12</v>
      </c>
      <c r="G306" t="s">
        <v>43</v>
      </c>
      <c r="H306">
        <v>100800</v>
      </c>
      <c r="I306" t="s">
        <v>19</v>
      </c>
      <c r="J306">
        <v>100800</v>
      </c>
      <c r="K306" t="s">
        <v>29</v>
      </c>
      <c r="L306">
        <v>100</v>
      </c>
      <c r="M306" t="s">
        <v>29</v>
      </c>
      <c r="N306" t="s">
        <v>16</v>
      </c>
      <c r="O306" t="str">
        <f>VLOOKUP(SalaryInfo[[#This Row],[company_size]],CompanySize[],2,FALSE)</f>
        <v>Large</v>
      </c>
    </row>
    <row r="307" spans="1:15">
      <c r="A307">
        <v>28</v>
      </c>
      <c r="B307">
        <v>2020</v>
      </c>
      <c r="C307" t="str">
        <f>VLOOKUP(SalaryInfo[[#This Row],[experience_level]],Experience[],2,FALSE)</f>
        <v>Junior</v>
      </c>
      <c r="D307" t="s">
        <v>30</v>
      </c>
      <c r="E307" t="str">
        <f>VLOOKUP(SalaryInfo[[#This Row],[employment_type]],EmpType[],2,FALSE)</f>
        <v>Contract</v>
      </c>
      <c r="F307" t="s">
        <v>59</v>
      </c>
      <c r="G307" t="s">
        <v>35</v>
      </c>
      <c r="H307">
        <v>100000</v>
      </c>
      <c r="I307" t="s">
        <v>19</v>
      </c>
      <c r="J307">
        <v>100000</v>
      </c>
      <c r="K307" t="s">
        <v>29</v>
      </c>
      <c r="L307">
        <v>100</v>
      </c>
      <c r="M307" t="s">
        <v>29</v>
      </c>
      <c r="N307" t="s">
        <v>16</v>
      </c>
      <c r="O307" t="str">
        <f>VLOOKUP(SalaryInfo[[#This Row],[company_size]],CompanySize[],2,FALSE)</f>
        <v>Large</v>
      </c>
    </row>
    <row r="308" spans="1:15">
      <c r="A308">
        <v>130</v>
      </c>
      <c r="B308">
        <v>2021</v>
      </c>
      <c r="C308" t="str">
        <f>VLOOKUP(SalaryInfo[[#This Row],[experience_level]],Experience[],2,FALSE)</f>
        <v>Junior</v>
      </c>
      <c r="D308" t="s">
        <v>30</v>
      </c>
      <c r="E308" t="str">
        <f>VLOOKUP(SalaryInfo[[#This Row],[employment_type]],EmpType[],2,FALSE)</f>
        <v>Full Time</v>
      </c>
      <c r="F308" t="s">
        <v>12</v>
      </c>
      <c r="G308" t="s">
        <v>98</v>
      </c>
      <c r="H308">
        <v>100000</v>
      </c>
      <c r="I308" t="s">
        <v>19</v>
      </c>
      <c r="J308">
        <v>100000</v>
      </c>
      <c r="K308" t="s">
        <v>99</v>
      </c>
      <c r="L308">
        <v>50</v>
      </c>
      <c r="M308" t="s">
        <v>99</v>
      </c>
      <c r="N308" t="s">
        <v>21</v>
      </c>
      <c r="O308" t="str">
        <f>VLOOKUP(SalaryInfo[[#This Row],[company_size]],CompanySize[],2,FALSE)</f>
        <v>Small</v>
      </c>
    </row>
    <row r="309" spans="1:15">
      <c r="A309">
        <v>134</v>
      </c>
      <c r="B309">
        <v>2021</v>
      </c>
      <c r="C309" t="str">
        <f>VLOOKUP(SalaryInfo[[#This Row],[experience_level]],Experience[],2,FALSE)</f>
        <v>Junior</v>
      </c>
      <c r="D309" t="s">
        <v>30</v>
      </c>
      <c r="E309" t="str">
        <f>VLOOKUP(SalaryInfo[[#This Row],[employment_type]],EmpType[],2,FALSE)</f>
        <v>Full Time</v>
      </c>
      <c r="F309" t="s">
        <v>12</v>
      </c>
      <c r="G309" t="s">
        <v>13</v>
      </c>
      <c r="H309">
        <v>100000</v>
      </c>
      <c r="I309" t="s">
        <v>19</v>
      </c>
      <c r="J309">
        <v>100000</v>
      </c>
      <c r="K309" t="s">
        <v>29</v>
      </c>
      <c r="L309">
        <v>0</v>
      </c>
      <c r="M309" t="s">
        <v>29</v>
      </c>
      <c r="N309" t="s">
        <v>21</v>
      </c>
      <c r="O309" t="str">
        <f>VLOOKUP(SalaryInfo[[#This Row],[company_size]],CompanySize[],2,FALSE)</f>
        <v>Small</v>
      </c>
    </row>
    <row r="310" spans="1:15">
      <c r="A310">
        <v>275</v>
      </c>
      <c r="B310">
        <v>2021</v>
      </c>
      <c r="C310" t="str">
        <f>VLOOKUP(SalaryInfo[[#This Row],[experience_level]],Experience[],2,FALSE)</f>
        <v>Junior</v>
      </c>
      <c r="D310" t="s">
        <v>30</v>
      </c>
      <c r="E310" t="str">
        <f>VLOOKUP(SalaryInfo[[#This Row],[employment_type]],EmpType[],2,FALSE)</f>
        <v>Full Time</v>
      </c>
      <c r="F310" t="s">
        <v>12</v>
      </c>
      <c r="G310" t="s">
        <v>13</v>
      </c>
      <c r="H310">
        <v>100000</v>
      </c>
      <c r="I310" t="s">
        <v>19</v>
      </c>
      <c r="J310">
        <v>100000</v>
      </c>
      <c r="K310" t="s">
        <v>29</v>
      </c>
      <c r="L310">
        <v>100</v>
      </c>
      <c r="M310" t="s">
        <v>29</v>
      </c>
      <c r="N310" t="s">
        <v>25</v>
      </c>
      <c r="O310" t="str">
        <f>VLOOKUP(SalaryInfo[[#This Row],[company_size]],CompanySize[],2,FALSE)</f>
        <v>Medium</v>
      </c>
    </row>
    <row r="311" spans="1:15">
      <c r="A311">
        <v>281</v>
      </c>
      <c r="B311">
        <v>2021</v>
      </c>
      <c r="C311" t="str">
        <f>VLOOKUP(SalaryInfo[[#This Row],[experience_level]],Experience[],2,FALSE)</f>
        <v>Junior</v>
      </c>
      <c r="D311" t="s">
        <v>30</v>
      </c>
      <c r="E311" t="str">
        <f>VLOOKUP(SalaryInfo[[#This Row],[employment_type]],EmpType[],2,FALSE)</f>
        <v>Full Time</v>
      </c>
      <c r="F311" t="s">
        <v>12</v>
      </c>
      <c r="G311" t="s">
        <v>55</v>
      </c>
      <c r="H311">
        <v>100000</v>
      </c>
      <c r="I311" t="s">
        <v>19</v>
      </c>
      <c r="J311">
        <v>100000</v>
      </c>
      <c r="K311" t="s">
        <v>128</v>
      </c>
      <c r="L311">
        <v>0</v>
      </c>
      <c r="M311" t="s">
        <v>49</v>
      </c>
      <c r="N311" t="s">
        <v>16</v>
      </c>
      <c r="O311" t="str">
        <f>VLOOKUP(SalaryInfo[[#This Row],[company_size]],CompanySize[],2,FALSE)</f>
        <v>Large</v>
      </c>
    </row>
    <row r="312" spans="1:15">
      <c r="A312">
        <v>76</v>
      </c>
      <c r="B312">
        <v>2021</v>
      </c>
      <c r="C312" t="str">
        <f>VLOOKUP(SalaryInfo[[#This Row],[experience_level]],Experience[],2,FALSE)</f>
        <v>Intermediate</v>
      </c>
      <c r="D312" t="s">
        <v>11</v>
      </c>
      <c r="E312" t="str">
        <f>VLOOKUP(SalaryInfo[[#This Row],[employment_type]],EmpType[],2,FALSE)</f>
        <v>Full Time</v>
      </c>
      <c r="F312" t="s">
        <v>12</v>
      </c>
      <c r="G312" t="s">
        <v>51</v>
      </c>
      <c r="H312">
        <v>100000</v>
      </c>
      <c r="I312" t="s">
        <v>19</v>
      </c>
      <c r="J312">
        <v>100000</v>
      </c>
      <c r="K312" t="s">
        <v>29</v>
      </c>
      <c r="L312">
        <v>100</v>
      </c>
      <c r="M312" t="s">
        <v>29</v>
      </c>
      <c r="N312" t="s">
        <v>25</v>
      </c>
      <c r="O312" t="str">
        <f>VLOOKUP(SalaryInfo[[#This Row],[company_size]],CompanySize[],2,FALSE)</f>
        <v>Medium</v>
      </c>
    </row>
    <row r="313" spans="1:15">
      <c r="A313">
        <v>144</v>
      </c>
      <c r="B313">
        <v>2021</v>
      </c>
      <c r="C313" t="str">
        <f>VLOOKUP(SalaryInfo[[#This Row],[experience_level]],Experience[],2,FALSE)</f>
        <v>Intermediate</v>
      </c>
      <c r="D313" t="s">
        <v>11</v>
      </c>
      <c r="E313" t="str">
        <f>VLOOKUP(SalaryInfo[[#This Row],[employment_type]],EmpType[],2,FALSE)</f>
        <v>Full Time</v>
      </c>
      <c r="F313" t="s">
        <v>12</v>
      </c>
      <c r="G313" t="s">
        <v>43</v>
      </c>
      <c r="H313">
        <v>100000</v>
      </c>
      <c r="I313" t="s">
        <v>19</v>
      </c>
      <c r="J313">
        <v>100000</v>
      </c>
      <c r="K313" t="s">
        <v>29</v>
      </c>
      <c r="L313">
        <v>100</v>
      </c>
      <c r="M313" t="s">
        <v>29</v>
      </c>
      <c r="N313" t="s">
        <v>16</v>
      </c>
      <c r="O313" t="str">
        <f>VLOOKUP(SalaryInfo[[#This Row],[company_size]],CompanySize[],2,FALSE)</f>
        <v>Large</v>
      </c>
    </row>
    <row r="314" spans="1:15">
      <c r="A314">
        <v>488</v>
      </c>
      <c r="B314">
        <v>2022</v>
      </c>
      <c r="C314" t="str">
        <f>VLOOKUP(SalaryInfo[[#This Row],[experience_level]],Experience[],2,FALSE)</f>
        <v>Intermediate</v>
      </c>
      <c r="D314" t="s">
        <v>11</v>
      </c>
      <c r="E314" t="str">
        <f>VLOOKUP(SalaryInfo[[#This Row],[employment_type]],EmpType[],2,FALSE)</f>
        <v>Freelance</v>
      </c>
      <c r="F314" t="s">
        <v>73</v>
      </c>
      <c r="G314" t="s">
        <v>13</v>
      </c>
      <c r="H314">
        <v>100000</v>
      </c>
      <c r="I314" t="s">
        <v>19</v>
      </c>
      <c r="J314">
        <v>100000</v>
      </c>
      <c r="K314" t="s">
        <v>62</v>
      </c>
      <c r="L314">
        <v>100</v>
      </c>
      <c r="M314" t="s">
        <v>29</v>
      </c>
      <c r="N314" t="s">
        <v>25</v>
      </c>
      <c r="O314" t="str">
        <f>VLOOKUP(SalaryInfo[[#This Row],[company_size]],CompanySize[],2,FALSE)</f>
        <v>Medium</v>
      </c>
    </row>
    <row r="315" spans="1:15">
      <c r="A315">
        <v>461</v>
      </c>
      <c r="B315">
        <v>2022</v>
      </c>
      <c r="C315" t="str">
        <f>VLOOKUP(SalaryInfo[[#This Row],[experience_level]],Experience[],2,FALSE)</f>
        <v>Junior</v>
      </c>
      <c r="D315" t="s">
        <v>30</v>
      </c>
      <c r="E315" t="str">
        <f>VLOOKUP(SalaryInfo[[#This Row],[employment_type]],EmpType[],2,FALSE)</f>
        <v>Full Time</v>
      </c>
      <c r="F315" t="s">
        <v>12</v>
      </c>
      <c r="G315" t="s">
        <v>92</v>
      </c>
      <c r="H315">
        <v>100000</v>
      </c>
      <c r="I315" t="s">
        <v>19</v>
      </c>
      <c r="J315">
        <v>100000</v>
      </c>
      <c r="K315" t="s">
        <v>29</v>
      </c>
      <c r="L315">
        <v>50</v>
      </c>
      <c r="M315" t="s">
        <v>29</v>
      </c>
      <c r="N315" t="s">
        <v>16</v>
      </c>
      <c r="O315" t="str">
        <f>VLOOKUP(SalaryInfo[[#This Row],[company_size]],CompanySize[],2,FALSE)</f>
        <v>Large</v>
      </c>
    </row>
    <row r="316" spans="1:15">
      <c r="A316">
        <v>468</v>
      </c>
      <c r="B316">
        <v>2022</v>
      </c>
      <c r="C316" t="str">
        <f>VLOOKUP(SalaryInfo[[#This Row],[experience_level]],Experience[],2,FALSE)</f>
        <v>Senior</v>
      </c>
      <c r="D316" t="s">
        <v>17</v>
      </c>
      <c r="E316" t="str">
        <f>VLOOKUP(SalaryInfo[[#This Row],[employment_type]],EmpType[],2,FALSE)</f>
        <v>Full Time</v>
      </c>
      <c r="F316" t="s">
        <v>12</v>
      </c>
      <c r="G316" t="s">
        <v>43</v>
      </c>
      <c r="H316">
        <v>100000</v>
      </c>
      <c r="I316" t="s">
        <v>19</v>
      </c>
      <c r="J316">
        <v>100000</v>
      </c>
      <c r="K316" t="s">
        <v>29</v>
      </c>
      <c r="L316">
        <v>100</v>
      </c>
      <c r="M316" t="s">
        <v>29</v>
      </c>
      <c r="N316" t="s">
        <v>25</v>
      </c>
      <c r="O316" t="str">
        <f>VLOOKUP(SalaryInfo[[#This Row],[company_size]],CompanySize[],2,FALSE)</f>
        <v>Medium</v>
      </c>
    </row>
    <row r="317" spans="1:15">
      <c r="A317">
        <v>487</v>
      </c>
      <c r="B317">
        <v>2022</v>
      </c>
      <c r="C317" t="str">
        <f>VLOOKUP(SalaryInfo[[#This Row],[experience_level]],Experience[],2,FALSE)</f>
        <v>Junior</v>
      </c>
      <c r="D317" t="s">
        <v>30</v>
      </c>
      <c r="E317" t="str">
        <f>VLOOKUP(SalaryInfo[[#This Row],[employment_type]],EmpType[],2,FALSE)</f>
        <v>Part Time</v>
      </c>
      <c r="F317" t="s">
        <v>47</v>
      </c>
      <c r="G317" t="s">
        <v>13</v>
      </c>
      <c r="H317">
        <v>100000</v>
      </c>
      <c r="I317" t="s">
        <v>19</v>
      </c>
      <c r="J317">
        <v>100000</v>
      </c>
      <c r="K317" t="s">
        <v>137</v>
      </c>
      <c r="L317">
        <v>50</v>
      </c>
      <c r="M317" t="s">
        <v>137</v>
      </c>
      <c r="N317" t="s">
        <v>25</v>
      </c>
      <c r="O317" t="str">
        <f>VLOOKUP(SalaryInfo[[#This Row],[company_size]],CompanySize[],2,FALSE)</f>
        <v>Medium</v>
      </c>
    </row>
    <row r="318" spans="1:15">
      <c r="A318">
        <v>494</v>
      </c>
      <c r="B318">
        <v>2022</v>
      </c>
      <c r="C318" t="str">
        <f>VLOOKUP(SalaryInfo[[#This Row],[experience_level]],Experience[],2,FALSE)</f>
        <v>Senior</v>
      </c>
      <c r="D318" t="s">
        <v>17</v>
      </c>
      <c r="E318" t="str">
        <f>VLOOKUP(SalaryInfo[[#This Row],[employment_type]],EmpType[],2,FALSE)</f>
        <v>Full Time</v>
      </c>
      <c r="F318" t="s">
        <v>12</v>
      </c>
      <c r="G318" t="s">
        <v>13</v>
      </c>
      <c r="H318">
        <v>100000</v>
      </c>
      <c r="I318" t="s">
        <v>19</v>
      </c>
      <c r="J318">
        <v>100000</v>
      </c>
      <c r="K318" t="s">
        <v>91</v>
      </c>
      <c r="L318">
        <v>100</v>
      </c>
      <c r="M318" t="s">
        <v>29</v>
      </c>
      <c r="N318" t="s">
        <v>25</v>
      </c>
      <c r="O318" t="str">
        <f>VLOOKUP(SalaryInfo[[#This Row],[company_size]],CompanySize[],2,FALSE)</f>
        <v>Medium</v>
      </c>
    </row>
    <row r="319" spans="1:15">
      <c r="A319">
        <v>528</v>
      </c>
      <c r="B319">
        <v>2022</v>
      </c>
      <c r="C319" t="str">
        <f>VLOOKUP(SalaryInfo[[#This Row],[experience_level]],Experience[],2,FALSE)</f>
        <v>Senior</v>
      </c>
      <c r="D319" t="s">
        <v>17</v>
      </c>
      <c r="E319" t="str">
        <f>VLOOKUP(SalaryInfo[[#This Row],[employment_type]],EmpType[],2,FALSE)</f>
        <v>Full Time</v>
      </c>
      <c r="F319" t="s">
        <v>12</v>
      </c>
      <c r="G319" t="s">
        <v>31</v>
      </c>
      <c r="H319">
        <v>100000</v>
      </c>
      <c r="I319" t="s">
        <v>19</v>
      </c>
      <c r="J319">
        <v>100000</v>
      </c>
      <c r="K319" t="s">
        <v>29</v>
      </c>
      <c r="L319">
        <v>100</v>
      </c>
      <c r="M319" t="s">
        <v>29</v>
      </c>
      <c r="N319" t="s">
        <v>25</v>
      </c>
      <c r="O319" t="str">
        <f>VLOOKUP(SalaryInfo[[#This Row],[company_size]],CompanySize[],2,FALSE)</f>
        <v>Medium</v>
      </c>
    </row>
    <row r="320" spans="1:15">
      <c r="A320">
        <v>572</v>
      </c>
      <c r="B320">
        <v>2022</v>
      </c>
      <c r="C320" t="str">
        <f>VLOOKUP(SalaryInfo[[#This Row],[experience_level]],Experience[],2,FALSE)</f>
        <v>Senior</v>
      </c>
      <c r="D320" t="s">
        <v>17</v>
      </c>
      <c r="E320" t="str">
        <f>VLOOKUP(SalaryInfo[[#This Row],[employment_type]],EmpType[],2,FALSE)</f>
        <v>Full Time</v>
      </c>
      <c r="F320" t="s">
        <v>12</v>
      </c>
      <c r="G320" t="s">
        <v>31</v>
      </c>
      <c r="H320">
        <v>100000</v>
      </c>
      <c r="I320" t="s">
        <v>19</v>
      </c>
      <c r="J320">
        <v>100000</v>
      </c>
      <c r="K320" t="s">
        <v>29</v>
      </c>
      <c r="L320">
        <v>100</v>
      </c>
      <c r="M320" t="s">
        <v>29</v>
      </c>
      <c r="N320" t="s">
        <v>25</v>
      </c>
      <c r="O320" t="str">
        <f>VLOOKUP(SalaryInfo[[#This Row],[company_size]],CompanySize[],2,FALSE)</f>
        <v>Medium</v>
      </c>
    </row>
    <row r="321" spans="1:15">
      <c r="A321">
        <v>578</v>
      </c>
      <c r="B321">
        <v>2022</v>
      </c>
      <c r="C321" t="str">
        <f>VLOOKUP(SalaryInfo[[#This Row],[experience_level]],Experience[],2,FALSE)</f>
        <v>Senior</v>
      </c>
      <c r="D321" t="s">
        <v>17</v>
      </c>
      <c r="E321" t="str">
        <f>VLOOKUP(SalaryInfo[[#This Row],[employment_type]],EmpType[],2,FALSE)</f>
        <v>Full Time</v>
      </c>
      <c r="F321" t="s">
        <v>12</v>
      </c>
      <c r="G321" t="s">
        <v>43</v>
      </c>
      <c r="H321">
        <v>100000</v>
      </c>
      <c r="I321" t="s">
        <v>19</v>
      </c>
      <c r="J321">
        <v>100000</v>
      </c>
      <c r="K321" t="s">
        <v>29</v>
      </c>
      <c r="L321">
        <v>100</v>
      </c>
      <c r="M321" t="s">
        <v>29</v>
      </c>
      <c r="N321" t="s">
        <v>25</v>
      </c>
      <c r="O321" t="str">
        <f>VLOOKUP(SalaryInfo[[#This Row],[company_size]],CompanySize[],2,FALSE)</f>
        <v>Medium</v>
      </c>
    </row>
    <row r="322" spans="1:15">
      <c r="A322">
        <v>255</v>
      </c>
      <c r="B322">
        <v>2021</v>
      </c>
      <c r="C322" t="str">
        <f>VLOOKUP(SalaryInfo[[#This Row],[experience_level]],Experience[],2,FALSE)</f>
        <v>Senior</v>
      </c>
      <c r="D322" t="s">
        <v>17</v>
      </c>
      <c r="E322" t="str">
        <f>VLOOKUP(SalaryInfo[[#This Row],[employment_type]],EmpType[],2,FALSE)</f>
        <v>Full Time</v>
      </c>
      <c r="F322" t="s">
        <v>12</v>
      </c>
      <c r="G322" t="s">
        <v>125</v>
      </c>
      <c r="H322">
        <v>125000</v>
      </c>
      <c r="I322" t="s">
        <v>61</v>
      </c>
      <c r="J322">
        <v>99703</v>
      </c>
      <c r="K322" t="s">
        <v>62</v>
      </c>
      <c r="L322">
        <v>50</v>
      </c>
      <c r="M322" t="s">
        <v>62</v>
      </c>
      <c r="N322" t="s">
        <v>25</v>
      </c>
      <c r="O322" t="str">
        <f>VLOOKUP(SalaryInfo[[#This Row],[company_size]],CompanySize[],2,FALSE)</f>
        <v>Medium</v>
      </c>
    </row>
    <row r="323" spans="1:15">
      <c r="A323">
        <v>299</v>
      </c>
      <c r="B323">
        <v>2022</v>
      </c>
      <c r="C323" t="str">
        <f>VLOOKUP(SalaryInfo[[#This Row],[experience_level]],Experience[],2,FALSE)</f>
        <v>Senior</v>
      </c>
      <c r="D323" t="s">
        <v>17</v>
      </c>
      <c r="E323" t="str">
        <f>VLOOKUP(SalaryInfo[[#This Row],[employment_type]],EmpType[],2,FALSE)</f>
        <v>Full Time</v>
      </c>
      <c r="F323" t="s">
        <v>12</v>
      </c>
      <c r="G323" t="s">
        <v>13</v>
      </c>
      <c r="H323">
        <v>99360</v>
      </c>
      <c r="I323" t="s">
        <v>19</v>
      </c>
      <c r="J323">
        <v>99360</v>
      </c>
      <c r="K323" t="s">
        <v>29</v>
      </c>
      <c r="L323">
        <v>100</v>
      </c>
      <c r="M323" t="s">
        <v>29</v>
      </c>
      <c r="N323" t="s">
        <v>25</v>
      </c>
      <c r="O323" t="str">
        <f>VLOOKUP(SalaryInfo[[#This Row],[company_size]],CompanySize[],2,FALSE)</f>
        <v>Medium</v>
      </c>
    </row>
    <row r="324" spans="1:15">
      <c r="A324">
        <v>543</v>
      </c>
      <c r="B324">
        <v>2022</v>
      </c>
      <c r="C324" t="str">
        <f>VLOOKUP(SalaryInfo[[#This Row],[experience_level]],Experience[],2,FALSE)</f>
        <v>Intermediate</v>
      </c>
      <c r="D324" t="s">
        <v>11</v>
      </c>
      <c r="E324" t="str">
        <f>VLOOKUP(SalaryInfo[[#This Row],[employment_type]],EmpType[],2,FALSE)</f>
        <v>Full Time</v>
      </c>
      <c r="F324" t="s">
        <v>12</v>
      </c>
      <c r="G324" t="s">
        <v>43</v>
      </c>
      <c r="H324">
        <v>99100</v>
      </c>
      <c r="I324" t="s">
        <v>19</v>
      </c>
      <c r="J324">
        <v>99100</v>
      </c>
      <c r="K324" t="s">
        <v>29</v>
      </c>
      <c r="L324">
        <v>0</v>
      </c>
      <c r="M324" t="s">
        <v>29</v>
      </c>
      <c r="N324" t="s">
        <v>25</v>
      </c>
      <c r="O324" t="str">
        <f>VLOOKUP(SalaryInfo[[#This Row],[company_size]],CompanySize[],2,FALSE)</f>
        <v>Medium</v>
      </c>
    </row>
    <row r="325" spans="1:15">
      <c r="A325">
        <v>548</v>
      </c>
      <c r="B325">
        <v>2022</v>
      </c>
      <c r="C325" t="str">
        <f>VLOOKUP(SalaryInfo[[#This Row],[experience_level]],Experience[],2,FALSE)</f>
        <v>Senior</v>
      </c>
      <c r="D325" t="s">
        <v>17</v>
      </c>
      <c r="E325" t="str">
        <f>VLOOKUP(SalaryInfo[[#This Row],[employment_type]],EmpType[],2,FALSE)</f>
        <v>Full Time</v>
      </c>
      <c r="F325" t="s">
        <v>12</v>
      </c>
      <c r="G325" t="s">
        <v>31</v>
      </c>
      <c r="H325">
        <v>99050</v>
      </c>
      <c r="I325" t="s">
        <v>19</v>
      </c>
      <c r="J325">
        <v>99050</v>
      </c>
      <c r="K325" t="s">
        <v>29</v>
      </c>
      <c r="L325">
        <v>100</v>
      </c>
      <c r="M325" t="s">
        <v>29</v>
      </c>
      <c r="N325" t="s">
        <v>25</v>
      </c>
      <c r="O325" t="str">
        <f>VLOOKUP(SalaryInfo[[#This Row],[company_size]],CompanySize[],2,FALSE)</f>
        <v>Medium</v>
      </c>
    </row>
    <row r="326" spans="1:15">
      <c r="A326">
        <v>305</v>
      </c>
      <c r="B326">
        <v>2022</v>
      </c>
      <c r="C326" t="str">
        <f>VLOOKUP(SalaryInfo[[#This Row],[experience_level]],Experience[],2,FALSE)</f>
        <v>Senior</v>
      </c>
      <c r="D326" t="s">
        <v>17</v>
      </c>
      <c r="E326" t="str">
        <f>VLOOKUP(SalaryInfo[[#This Row],[employment_type]],EmpType[],2,FALSE)</f>
        <v>Full Time</v>
      </c>
      <c r="F326" t="s">
        <v>12</v>
      </c>
      <c r="G326" t="s">
        <v>31</v>
      </c>
      <c r="H326">
        <v>99000</v>
      </c>
      <c r="I326" t="s">
        <v>19</v>
      </c>
      <c r="J326">
        <v>99000</v>
      </c>
      <c r="K326" t="s">
        <v>29</v>
      </c>
      <c r="L326">
        <v>0</v>
      </c>
      <c r="M326" t="s">
        <v>29</v>
      </c>
      <c r="N326" t="s">
        <v>25</v>
      </c>
      <c r="O326" t="str">
        <f>VLOOKUP(SalaryInfo[[#This Row],[company_size]],CompanySize[],2,FALSE)</f>
        <v>Medium</v>
      </c>
    </row>
    <row r="327" spans="1:15">
      <c r="A327">
        <v>588</v>
      </c>
      <c r="B327">
        <v>2022</v>
      </c>
      <c r="C327" t="str">
        <f>VLOOKUP(SalaryInfo[[#This Row],[experience_level]],Experience[],2,FALSE)</f>
        <v>Senior</v>
      </c>
      <c r="D327" t="s">
        <v>17</v>
      </c>
      <c r="E327" t="str">
        <f>VLOOKUP(SalaryInfo[[#This Row],[employment_type]],EmpType[],2,FALSE)</f>
        <v>Full Time</v>
      </c>
      <c r="F327" t="s">
        <v>12</v>
      </c>
      <c r="G327" t="s">
        <v>31</v>
      </c>
      <c r="H327">
        <v>99000</v>
      </c>
      <c r="I327" t="s">
        <v>19</v>
      </c>
      <c r="J327">
        <v>99000</v>
      </c>
      <c r="K327" t="s">
        <v>29</v>
      </c>
      <c r="L327">
        <v>0</v>
      </c>
      <c r="M327" t="s">
        <v>29</v>
      </c>
      <c r="N327" t="s">
        <v>25</v>
      </c>
      <c r="O327" t="str">
        <f>VLOOKUP(SalaryInfo[[#This Row],[company_size]],CompanySize[],2,FALSE)</f>
        <v>Medium</v>
      </c>
    </row>
    <row r="328" spans="1:15">
      <c r="A328">
        <v>390</v>
      </c>
      <c r="B328">
        <v>2022</v>
      </c>
      <c r="C328" t="str">
        <f>VLOOKUP(SalaryInfo[[#This Row],[experience_level]],Experience[],2,FALSE)</f>
        <v>Intermediate</v>
      </c>
      <c r="D328" t="s">
        <v>11</v>
      </c>
      <c r="E328" t="str">
        <f>VLOOKUP(SalaryInfo[[#This Row],[employment_type]],EmpType[],2,FALSE)</f>
        <v>Full Time</v>
      </c>
      <c r="F328" t="s">
        <v>12</v>
      </c>
      <c r="G328" t="s">
        <v>28</v>
      </c>
      <c r="H328">
        <v>75000</v>
      </c>
      <c r="I328" t="s">
        <v>23</v>
      </c>
      <c r="J328">
        <v>98158</v>
      </c>
      <c r="K328" t="s">
        <v>24</v>
      </c>
      <c r="L328">
        <v>0</v>
      </c>
      <c r="M328" t="s">
        <v>24</v>
      </c>
      <c r="N328" t="s">
        <v>25</v>
      </c>
      <c r="O328" t="str">
        <f>VLOOKUP(SalaryInfo[[#This Row],[company_size]],CompanySize[],2,FALSE)</f>
        <v>Medium</v>
      </c>
    </row>
    <row r="329" spans="1:15">
      <c r="A329">
        <v>405</v>
      </c>
      <c r="B329">
        <v>2022</v>
      </c>
      <c r="C329" t="str">
        <f>VLOOKUP(SalaryInfo[[#This Row],[experience_level]],Experience[],2,FALSE)</f>
        <v>Intermediate</v>
      </c>
      <c r="D329" t="s">
        <v>11</v>
      </c>
      <c r="E329" t="str">
        <f>VLOOKUP(SalaryInfo[[#This Row],[employment_type]],EmpType[],2,FALSE)</f>
        <v>Full Time</v>
      </c>
      <c r="F329" t="s">
        <v>12</v>
      </c>
      <c r="G329" t="s">
        <v>43</v>
      </c>
      <c r="H329">
        <v>75000</v>
      </c>
      <c r="I329" t="s">
        <v>23</v>
      </c>
      <c r="J329">
        <v>98158</v>
      </c>
      <c r="K329" t="s">
        <v>24</v>
      </c>
      <c r="L329">
        <v>0</v>
      </c>
      <c r="M329" t="s">
        <v>24</v>
      </c>
      <c r="N329" t="s">
        <v>25</v>
      </c>
      <c r="O329" t="str">
        <f>VLOOKUP(SalaryInfo[[#This Row],[company_size]],CompanySize[],2,FALSE)</f>
        <v>Medium</v>
      </c>
    </row>
    <row r="330" spans="1:15">
      <c r="A330">
        <v>442</v>
      </c>
      <c r="B330">
        <v>2022</v>
      </c>
      <c r="C330" t="str">
        <f>VLOOKUP(SalaryInfo[[#This Row],[experience_level]],Experience[],2,FALSE)</f>
        <v>Intermediate</v>
      </c>
      <c r="D330" t="s">
        <v>11</v>
      </c>
      <c r="E330" t="str">
        <f>VLOOKUP(SalaryInfo[[#This Row],[employment_type]],EmpType[],2,FALSE)</f>
        <v>Full Time</v>
      </c>
      <c r="F330" t="s">
        <v>12</v>
      </c>
      <c r="G330" t="s">
        <v>43</v>
      </c>
      <c r="H330">
        <v>75000</v>
      </c>
      <c r="I330" t="s">
        <v>23</v>
      </c>
      <c r="J330">
        <v>98158</v>
      </c>
      <c r="K330" t="s">
        <v>24</v>
      </c>
      <c r="L330">
        <v>100</v>
      </c>
      <c r="M330" t="s">
        <v>24</v>
      </c>
      <c r="N330" t="s">
        <v>25</v>
      </c>
      <c r="O330" t="str">
        <f>VLOOKUP(SalaryInfo[[#This Row],[company_size]],CompanySize[],2,FALSE)</f>
        <v>Medium</v>
      </c>
    </row>
    <row r="331" spans="1:15">
      <c r="A331">
        <v>23</v>
      </c>
      <c r="B331">
        <v>2020</v>
      </c>
      <c r="C331" t="str">
        <f>VLOOKUP(SalaryInfo[[#This Row],[experience_level]],Experience[],2,FALSE)</f>
        <v>Intermediate</v>
      </c>
      <c r="D331" t="s">
        <v>11</v>
      </c>
      <c r="E331" t="str">
        <f>VLOOKUP(SalaryInfo[[#This Row],[employment_type]],EmpType[],2,FALSE)</f>
        <v>Full Time</v>
      </c>
      <c r="F331" t="s">
        <v>12</v>
      </c>
      <c r="G331" t="s">
        <v>51</v>
      </c>
      <c r="H331">
        <v>98000</v>
      </c>
      <c r="I331" t="s">
        <v>19</v>
      </c>
      <c r="J331">
        <v>98000</v>
      </c>
      <c r="K331" t="s">
        <v>29</v>
      </c>
      <c r="L331">
        <v>0</v>
      </c>
      <c r="M331" t="s">
        <v>29</v>
      </c>
      <c r="N331" t="s">
        <v>25</v>
      </c>
      <c r="O331" t="str">
        <f>VLOOKUP(SalaryInfo[[#This Row],[company_size]],CompanySize[],2,FALSE)</f>
        <v>Medium</v>
      </c>
    </row>
    <row r="332" spans="1:15">
      <c r="A332">
        <v>248</v>
      </c>
      <c r="B332">
        <v>2021</v>
      </c>
      <c r="C332" t="str">
        <f>VLOOKUP(SalaryInfo[[#This Row],[experience_level]],Experience[],2,FALSE)</f>
        <v>Senior</v>
      </c>
      <c r="D332" t="s">
        <v>17</v>
      </c>
      <c r="E332" t="str">
        <f>VLOOKUP(SalaryInfo[[#This Row],[employment_type]],EmpType[],2,FALSE)</f>
        <v>Full Time</v>
      </c>
      <c r="F332" t="s">
        <v>12</v>
      </c>
      <c r="G332" t="s">
        <v>43</v>
      </c>
      <c r="H332">
        <v>70000</v>
      </c>
      <c r="I332" t="s">
        <v>23</v>
      </c>
      <c r="J332">
        <v>96282</v>
      </c>
      <c r="K332" t="s">
        <v>24</v>
      </c>
      <c r="L332">
        <v>50</v>
      </c>
      <c r="M332" t="s">
        <v>24</v>
      </c>
      <c r="N332" t="s">
        <v>16</v>
      </c>
      <c r="O332" t="str">
        <f>VLOOKUP(SalaryInfo[[#This Row],[company_size]],CompanySize[],2,FALSE)</f>
        <v>Large</v>
      </c>
    </row>
    <row r="333" spans="1:15">
      <c r="A333">
        <v>194</v>
      </c>
      <c r="B333">
        <v>2021</v>
      </c>
      <c r="C333" t="str">
        <f>VLOOKUP(SalaryInfo[[#This Row],[experience_level]],Experience[],2,FALSE)</f>
        <v>Senior</v>
      </c>
      <c r="D333" t="s">
        <v>17</v>
      </c>
      <c r="E333" t="str">
        <f>VLOOKUP(SalaryInfo[[#This Row],[employment_type]],EmpType[],2,FALSE)</f>
        <v>Full Time</v>
      </c>
      <c r="F333" t="s">
        <v>12</v>
      </c>
      <c r="G333" t="s">
        <v>55</v>
      </c>
      <c r="H333">
        <v>120500</v>
      </c>
      <c r="I333" t="s">
        <v>61</v>
      </c>
      <c r="J333">
        <v>96113</v>
      </c>
      <c r="K333" t="s">
        <v>62</v>
      </c>
      <c r="L333">
        <v>50</v>
      </c>
      <c r="M333" t="s">
        <v>62</v>
      </c>
      <c r="N333" t="s">
        <v>16</v>
      </c>
      <c r="O333" t="str">
        <f>VLOOKUP(SalaryInfo[[#This Row],[company_size]],CompanySize[],2,FALSE)</f>
        <v>Large</v>
      </c>
    </row>
    <row r="334" spans="1:15">
      <c r="A334">
        <v>99</v>
      </c>
      <c r="B334">
        <v>2021</v>
      </c>
      <c r="C334" t="str">
        <f>VLOOKUP(SalaryInfo[[#This Row],[experience_level]],Experience[],2,FALSE)</f>
        <v>Intermediate</v>
      </c>
      <c r="D334" t="s">
        <v>11</v>
      </c>
      <c r="E334" t="str">
        <f>VLOOKUP(SalaryInfo[[#This Row],[employment_type]],EmpType[],2,FALSE)</f>
        <v>Full Time</v>
      </c>
      <c r="F334" t="s">
        <v>12</v>
      </c>
      <c r="G334" t="s">
        <v>93</v>
      </c>
      <c r="H334">
        <v>81000</v>
      </c>
      <c r="I334" t="s">
        <v>14</v>
      </c>
      <c r="J334">
        <v>95746</v>
      </c>
      <c r="K334" t="s">
        <v>15</v>
      </c>
      <c r="L334">
        <v>100</v>
      </c>
      <c r="M334" t="s">
        <v>29</v>
      </c>
      <c r="N334" t="s">
        <v>21</v>
      </c>
      <c r="O334" t="str">
        <f>VLOOKUP(SalaryInfo[[#This Row],[company_size]],CompanySize[],2,FALSE)</f>
        <v>Small</v>
      </c>
    </row>
    <row r="335" spans="1:15">
      <c r="A335">
        <v>347</v>
      </c>
      <c r="B335">
        <v>2022</v>
      </c>
      <c r="C335" t="str">
        <f>VLOOKUP(SalaryInfo[[#This Row],[experience_level]],Experience[],2,FALSE)</f>
        <v>Senior</v>
      </c>
      <c r="D335" t="s">
        <v>17</v>
      </c>
      <c r="E335" t="str">
        <f>VLOOKUP(SalaryInfo[[#This Row],[employment_type]],EmpType[],2,FALSE)</f>
        <v>Full Time</v>
      </c>
      <c r="F335" t="s">
        <v>12</v>
      </c>
      <c r="G335" t="s">
        <v>13</v>
      </c>
      <c r="H335">
        <v>95550</v>
      </c>
      <c r="I335" t="s">
        <v>19</v>
      </c>
      <c r="J335">
        <v>95550</v>
      </c>
      <c r="K335" t="s">
        <v>29</v>
      </c>
      <c r="L335">
        <v>0</v>
      </c>
      <c r="M335" t="s">
        <v>29</v>
      </c>
      <c r="N335" t="s">
        <v>25</v>
      </c>
      <c r="O335" t="str">
        <f>VLOOKUP(SalaryInfo[[#This Row],[company_size]],CompanySize[],2,FALSE)</f>
        <v>Medium</v>
      </c>
    </row>
    <row r="336" spans="1:15">
      <c r="A336">
        <v>285</v>
      </c>
      <c r="B336">
        <v>2021</v>
      </c>
      <c r="C336" t="str">
        <f>VLOOKUP(SalaryInfo[[#This Row],[experience_level]],Experience[],2,FALSE)</f>
        <v>Senior</v>
      </c>
      <c r="D336" t="s">
        <v>17</v>
      </c>
      <c r="E336" t="str">
        <f>VLOOKUP(SalaryInfo[[#This Row],[employment_type]],EmpType[],2,FALSE)</f>
        <v>Full Time</v>
      </c>
      <c r="F336" t="s">
        <v>12</v>
      </c>
      <c r="G336" t="s">
        <v>79</v>
      </c>
      <c r="H336">
        <v>7000000</v>
      </c>
      <c r="I336" t="s">
        <v>39</v>
      </c>
      <c r="J336">
        <v>94665</v>
      </c>
      <c r="K336" t="s">
        <v>40</v>
      </c>
      <c r="L336">
        <v>50</v>
      </c>
      <c r="M336" t="s">
        <v>40</v>
      </c>
      <c r="N336" t="s">
        <v>16</v>
      </c>
      <c r="O336" t="str">
        <f>VLOOKUP(SalaryInfo[[#This Row],[company_size]],CompanySize[],2,FALSE)</f>
        <v>Large</v>
      </c>
    </row>
    <row r="337" spans="1:15">
      <c r="A337">
        <v>110</v>
      </c>
      <c r="B337">
        <v>2021</v>
      </c>
      <c r="C337" t="str">
        <f>VLOOKUP(SalaryInfo[[#This Row],[experience_level]],Experience[],2,FALSE)</f>
        <v>Senior</v>
      </c>
      <c r="D337" t="s">
        <v>17</v>
      </c>
      <c r="E337" t="str">
        <f>VLOOKUP(SalaryInfo[[#This Row],[employment_type]],EmpType[],2,FALSE)</f>
        <v>Full Time</v>
      </c>
      <c r="F337" t="s">
        <v>12</v>
      </c>
      <c r="G337" t="s">
        <v>28</v>
      </c>
      <c r="H337">
        <v>80000</v>
      </c>
      <c r="I337" t="s">
        <v>14</v>
      </c>
      <c r="J337">
        <v>94564</v>
      </c>
      <c r="K337" t="s">
        <v>15</v>
      </c>
      <c r="L337">
        <v>50</v>
      </c>
      <c r="M337" t="s">
        <v>15</v>
      </c>
      <c r="N337" t="s">
        <v>16</v>
      </c>
      <c r="O337" t="str">
        <f>VLOOKUP(SalaryInfo[[#This Row],[company_size]],CompanySize[],2,FALSE)</f>
        <v>Large</v>
      </c>
    </row>
    <row r="338" spans="1:15">
      <c r="A338">
        <v>341</v>
      </c>
      <c r="B338">
        <v>2022</v>
      </c>
      <c r="C338" t="str">
        <f>VLOOKUP(SalaryInfo[[#This Row],[experience_level]],Experience[],2,FALSE)</f>
        <v>Senior</v>
      </c>
      <c r="D338" t="s">
        <v>17</v>
      </c>
      <c r="E338" t="str">
        <f>VLOOKUP(SalaryInfo[[#This Row],[employment_type]],EmpType[],2,FALSE)</f>
        <v>Full Time</v>
      </c>
      <c r="F338" t="s">
        <v>12</v>
      </c>
      <c r="G338" t="s">
        <v>43</v>
      </c>
      <c r="H338">
        <v>93700</v>
      </c>
      <c r="I338" t="s">
        <v>19</v>
      </c>
      <c r="J338">
        <v>93700</v>
      </c>
      <c r="K338" t="s">
        <v>29</v>
      </c>
      <c r="L338">
        <v>100</v>
      </c>
      <c r="M338" t="s">
        <v>29</v>
      </c>
      <c r="N338" t="s">
        <v>25</v>
      </c>
      <c r="O338" t="str">
        <f>VLOOKUP(SalaryInfo[[#This Row],[company_size]],CompanySize[],2,FALSE)</f>
        <v>Medium</v>
      </c>
    </row>
    <row r="339" spans="1:15">
      <c r="A339">
        <v>383</v>
      </c>
      <c r="B339">
        <v>2022</v>
      </c>
      <c r="C339" t="str">
        <f>VLOOKUP(SalaryInfo[[#This Row],[experience_level]],Experience[],2,FALSE)</f>
        <v>Senior</v>
      </c>
      <c r="D339" t="s">
        <v>17</v>
      </c>
      <c r="E339" t="str">
        <f>VLOOKUP(SalaryInfo[[#This Row],[employment_type]],EmpType[],2,FALSE)</f>
        <v>Full Time</v>
      </c>
      <c r="F339" t="s">
        <v>12</v>
      </c>
      <c r="G339" t="s">
        <v>31</v>
      </c>
      <c r="H339">
        <v>93700</v>
      </c>
      <c r="I339" t="s">
        <v>19</v>
      </c>
      <c r="J339">
        <v>93700</v>
      </c>
      <c r="K339" t="s">
        <v>29</v>
      </c>
      <c r="L339">
        <v>100</v>
      </c>
      <c r="M339" t="s">
        <v>29</v>
      </c>
      <c r="N339" t="s">
        <v>25</v>
      </c>
      <c r="O339" t="str">
        <f>VLOOKUP(SalaryInfo[[#This Row],[company_size]],CompanySize[],2,FALSE)</f>
        <v>Medium</v>
      </c>
    </row>
    <row r="340" spans="1:15">
      <c r="A340">
        <v>498</v>
      </c>
      <c r="B340">
        <v>2022</v>
      </c>
      <c r="C340" t="str">
        <f>VLOOKUP(SalaryInfo[[#This Row],[experience_level]],Experience[],2,FALSE)</f>
        <v>Senior</v>
      </c>
      <c r="D340" t="s">
        <v>17</v>
      </c>
      <c r="E340" t="str">
        <f>VLOOKUP(SalaryInfo[[#This Row],[employment_type]],EmpType[],2,FALSE)</f>
        <v>Full Time</v>
      </c>
      <c r="F340" t="s">
        <v>12</v>
      </c>
      <c r="G340" t="s">
        <v>55</v>
      </c>
      <c r="H340">
        <v>85000</v>
      </c>
      <c r="I340" t="s">
        <v>14</v>
      </c>
      <c r="J340">
        <v>93427</v>
      </c>
      <c r="K340" t="s">
        <v>38</v>
      </c>
      <c r="L340">
        <v>50</v>
      </c>
      <c r="M340" t="s">
        <v>38</v>
      </c>
      <c r="N340" t="s">
        <v>16</v>
      </c>
      <c r="O340" t="str">
        <f>VLOOKUP(SalaryInfo[[#This Row],[company_size]],CompanySize[],2,FALSE)</f>
        <v>Large</v>
      </c>
    </row>
    <row r="341" spans="1:15">
      <c r="A341">
        <v>266</v>
      </c>
      <c r="B341">
        <v>2021</v>
      </c>
      <c r="C341" t="str">
        <f>VLOOKUP(SalaryInfo[[#This Row],[experience_level]],Experience[],2,FALSE)</f>
        <v>Intermediate</v>
      </c>
      <c r="D341" t="s">
        <v>11</v>
      </c>
      <c r="E341" t="str">
        <f>VLOOKUP(SalaryInfo[[#This Row],[employment_type]],EmpType[],2,FALSE)</f>
        <v>Full Time</v>
      </c>
      <c r="F341" t="s">
        <v>12</v>
      </c>
      <c r="G341" t="s">
        <v>43</v>
      </c>
      <c r="H341">
        <v>93150</v>
      </c>
      <c r="I341" t="s">
        <v>19</v>
      </c>
      <c r="J341">
        <v>93150</v>
      </c>
      <c r="K341" t="s">
        <v>29</v>
      </c>
      <c r="L341">
        <v>0</v>
      </c>
      <c r="M341" t="s">
        <v>29</v>
      </c>
      <c r="N341" t="s">
        <v>25</v>
      </c>
      <c r="O341" t="str">
        <f>VLOOKUP(SalaryInfo[[#This Row],[company_size]],CompanySize[],2,FALSE)</f>
        <v>Medium</v>
      </c>
    </row>
    <row r="342" spans="1:15">
      <c r="A342">
        <v>254</v>
      </c>
      <c r="B342">
        <v>2021</v>
      </c>
      <c r="C342" t="str">
        <f>VLOOKUP(SalaryInfo[[#This Row],[experience_level]],Experience[],2,FALSE)</f>
        <v>Intermediate</v>
      </c>
      <c r="D342" t="s">
        <v>11</v>
      </c>
      <c r="E342" t="str">
        <f>VLOOKUP(SalaryInfo[[#This Row],[employment_type]],EmpType[],2,FALSE)</f>
        <v>Full Time</v>
      </c>
      <c r="F342" t="s">
        <v>12</v>
      </c>
      <c r="G342" t="s">
        <v>31</v>
      </c>
      <c r="H342">
        <v>93000</v>
      </c>
      <c r="I342" t="s">
        <v>19</v>
      </c>
      <c r="J342">
        <v>93000</v>
      </c>
      <c r="K342" t="s">
        <v>29</v>
      </c>
      <c r="L342">
        <v>100</v>
      </c>
      <c r="M342" t="s">
        <v>29</v>
      </c>
      <c r="N342" t="s">
        <v>16</v>
      </c>
      <c r="O342" t="str">
        <f>VLOOKUP(SalaryInfo[[#This Row],[company_size]],CompanySize[],2,FALSE)</f>
        <v>Large</v>
      </c>
    </row>
    <row r="343" spans="1:15">
      <c r="A343">
        <v>435</v>
      </c>
      <c r="B343">
        <v>2022</v>
      </c>
      <c r="C343" t="str">
        <f>VLOOKUP(SalaryInfo[[#This Row],[experience_level]],Experience[],2,FALSE)</f>
        <v>Intermediate</v>
      </c>
      <c r="D343" t="s">
        <v>11</v>
      </c>
      <c r="E343" t="str">
        <f>VLOOKUP(SalaryInfo[[#This Row],[employment_type]],EmpType[],2,FALSE)</f>
        <v>Full Time</v>
      </c>
      <c r="F343" t="s">
        <v>12</v>
      </c>
      <c r="G343" t="s">
        <v>43</v>
      </c>
      <c r="H343">
        <v>70000</v>
      </c>
      <c r="I343" t="s">
        <v>23</v>
      </c>
      <c r="J343">
        <v>91614</v>
      </c>
      <c r="K343" t="s">
        <v>24</v>
      </c>
      <c r="L343">
        <v>100</v>
      </c>
      <c r="M343" t="s">
        <v>24</v>
      </c>
      <c r="N343" t="s">
        <v>25</v>
      </c>
      <c r="O343" t="str">
        <f>VLOOKUP(SalaryInfo[[#This Row],[company_size]],CompanySize[],2,FALSE)</f>
        <v>Medium</v>
      </c>
    </row>
    <row r="344" spans="1:15">
      <c r="A344">
        <v>475</v>
      </c>
      <c r="B344">
        <v>2022</v>
      </c>
      <c r="C344" t="str">
        <f>VLOOKUP(SalaryInfo[[#This Row],[experience_level]],Experience[],2,FALSE)</f>
        <v>Intermediate</v>
      </c>
      <c r="D344" t="s">
        <v>11</v>
      </c>
      <c r="E344" t="str">
        <f>VLOOKUP(SalaryInfo[[#This Row],[employment_type]],EmpType[],2,FALSE)</f>
        <v>Full Time</v>
      </c>
      <c r="F344" t="s">
        <v>12</v>
      </c>
      <c r="G344" t="s">
        <v>13</v>
      </c>
      <c r="H344">
        <v>70000</v>
      </c>
      <c r="I344" t="s">
        <v>23</v>
      </c>
      <c r="J344">
        <v>91614</v>
      </c>
      <c r="K344" t="s">
        <v>24</v>
      </c>
      <c r="L344">
        <v>0</v>
      </c>
      <c r="M344" t="s">
        <v>24</v>
      </c>
      <c r="N344" t="s">
        <v>25</v>
      </c>
      <c r="O344" t="str">
        <f>VLOOKUP(SalaryInfo[[#This Row],[company_size]],CompanySize[],2,FALSE)</f>
        <v>Medium</v>
      </c>
    </row>
    <row r="345" spans="1:15">
      <c r="A345">
        <v>69</v>
      </c>
      <c r="B345">
        <v>2020</v>
      </c>
      <c r="C345" t="str">
        <f>VLOOKUP(SalaryInfo[[#This Row],[experience_level]],Experience[],2,FALSE)</f>
        <v>Senior</v>
      </c>
      <c r="D345" t="s">
        <v>17</v>
      </c>
      <c r="E345" t="str">
        <f>VLOOKUP(SalaryInfo[[#This Row],[employment_type]],EmpType[],2,FALSE)</f>
        <v>Full Time</v>
      </c>
      <c r="F345" t="s">
        <v>12</v>
      </c>
      <c r="G345" t="s">
        <v>13</v>
      </c>
      <c r="H345">
        <v>80000</v>
      </c>
      <c r="I345" t="s">
        <v>14</v>
      </c>
      <c r="J345">
        <v>91237</v>
      </c>
      <c r="K345" t="s">
        <v>64</v>
      </c>
      <c r="L345">
        <v>0</v>
      </c>
      <c r="M345" t="s">
        <v>64</v>
      </c>
      <c r="N345" t="s">
        <v>21</v>
      </c>
      <c r="O345" t="str">
        <f>VLOOKUP(SalaryInfo[[#This Row],[company_size]],CompanySize[],2,FALSE)</f>
        <v>Small</v>
      </c>
    </row>
    <row r="346" spans="1:15">
      <c r="A346">
        <v>51</v>
      </c>
      <c r="B346">
        <v>2020</v>
      </c>
      <c r="C346" t="str">
        <f>VLOOKUP(SalaryInfo[[#This Row],[experience_level]],Experience[],2,FALSE)</f>
        <v>Junior</v>
      </c>
      <c r="D346" t="s">
        <v>30</v>
      </c>
      <c r="E346" t="str">
        <f>VLOOKUP(SalaryInfo[[#This Row],[employment_type]],EmpType[],2,FALSE)</f>
        <v>Full Time</v>
      </c>
      <c r="F346" t="s">
        <v>12</v>
      </c>
      <c r="G346" t="s">
        <v>31</v>
      </c>
      <c r="H346">
        <v>91000</v>
      </c>
      <c r="I346" t="s">
        <v>19</v>
      </c>
      <c r="J346">
        <v>91000</v>
      </c>
      <c r="K346" t="s">
        <v>29</v>
      </c>
      <c r="L346">
        <v>100</v>
      </c>
      <c r="M346" t="s">
        <v>29</v>
      </c>
      <c r="N346" t="s">
        <v>16</v>
      </c>
      <c r="O346" t="str">
        <f>VLOOKUP(SalaryInfo[[#This Row],[company_size]],CompanySize[],2,FALSE)</f>
        <v>Large</v>
      </c>
    </row>
    <row r="347" spans="1:15">
      <c r="A347">
        <v>181</v>
      </c>
      <c r="B347">
        <v>2021</v>
      </c>
      <c r="C347" t="str">
        <f>VLOOKUP(SalaryInfo[[#This Row],[experience_level]],Experience[],2,FALSE)</f>
        <v>Intermediate</v>
      </c>
      <c r="D347" t="s">
        <v>11</v>
      </c>
      <c r="E347" t="str">
        <f>VLOOKUP(SalaryInfo[[#This Row],[employment_type]],EmpType[],2,FALSE)</f>
        <v>Full Time</v>
      </c>
      <c r="F347" t="s">
        <v>12</v>
      </c>
      <c r="G347" t="s">
        <v>13</v>
      </c>
      <c r="H347">
        <v>76760</v>
      </c>
      <c r="I347" t="s">
        <v>14</v>
      </c>
      <c r="J347">
        <v>90734</v>
      </c>
      <c r="K347" t="s">
        <v>15</v>
      </c>
      <c r="L347">
        <v>50</v>
      </c>
      <c r="M347" t="s">
        <v>15</v>
      </c>
      <c r="N347" t="s">
        <v>16</v>
      </c>
      <c r="O347" t="str">
        <f>VLOOKUP(SalaryInfo[[#This Row],[company_size]],CompanySize[],2,FALSE)</f>
        <v>Large</v>
      </c>
    </row>
    <row r="348" spans="1:15">
      <c r="A348">
        <v>217</v>
      </c>
      <c r="B348">
        <v>2021</v>
      </c>
      <c r="C348" t="str">
        <f>VLOOKUP(SalaryInfo[[#This Row],[experience_level]],Experience[],2,FALSE)</f>
        <v>Intermediate</v>
      </c>
      <c r="D348" t="s">
        <v>11</v>
      </c>
      <c r="E348" t="str">
        <f>VLOOKUP(SalaryInfo[[#This Row],[employment_type]],EmpType[],2,FALSE)</f>
        <v>Full Time</v>
      </c>
      <c r="F348" t="s">
        <v>12</v>
      </c>
      <c r="G348" t="s">
        <v>13</v>
      </c>
      <c r="H348">
        <v>76760</v>
      </c>
      <c r="I348" t="s">
        <v>14</v>
      </c>
      <c r="J348">
        <v>90734</v>
      </c>
      <c r="K348" t="s">
        <v>15</v>
      </c>
      <c r="L348">
        <v>50</v>
      </c>
      <c r="M348" t="s">
        <v>15</v>
      </c>
      <c r="N348" t="s">
        <v>16</v>
      </c>
      <c r="O348" t="str">
        <f>VLOOKUP(SalaryInfo[[#This Row],[company_size]],CompanySize[],2,FALSE)</f>
        <v>Large</v>
      </c>
    </row>
    <row r="349" spans="1:15">
      <c r="A349">
        <v>359</v>
      </c>
      <c r="B349">
        <v>2022</v>
      </c>
      <c r="C349" t="str">
        <f>VLOOKUP(SalaryInfo[[#This Row],[experience_level]],Experience[],2,FALSE)</f>
        <v>Senior</v>
      </c>
      <c r="D349" t="s">
        <v>17</v>
      </c>
      <c r="E349" t="str">
        <f>VLOOKUP(SalaryInfo[[#This Row],[employment_type]],EmpType[],2,FALSE)</f>
        <v>Full Time</v>
      </c>
      <c r="F349" t="s">
        <v>12</v>
      </c>
      <c r="G349" t="s">
        <v>109</v>
      </c>
      <c r="H349">
        <v>90700</v>
      </c>
      <c r="I349" t="s">
        <v>19</v>
      </c>
      <c r="J349">
        <v>90700</v>
      </c>
      <c r="K349" t="s">
        <v>62</v>
      </c>
      <c r="L349">
        <v>100</v>
      </c>
      <c r="M349" t="s">
        <v>62</v>
      </c>
      <c r="N349" t="s">
        <v>25</v>
      </c>
      <c r="O349" t="str">
        <f>VLOOKUP(SalaryInfo[[#This Row],[company_size]],CompanySize[],2,FALSE)</f>
        <v>Medium</v>
      </c>
    </row>
    <row r="350" spans="1:15">
      <c r="A350">
        <v>318</v>
      </c>
      <c r="B350">
        <v>2022</v>
      </c>
      <c r="C350" t="str">
        <f>VLOOKUP(SalaryInfo[[#This Row],[experience_level]],Experience[],2,FALSE)</f>
        <v>Senior</v>
      </c>
      <c r="D350" t="s">
        <v>17</v>
      </c>
      <c r="E350" t="str">
        <f>VLOOKUP(SalaryInfo[[#This Row],[employment_type]],EmpType[],2,FALSE)</f>
        <v>Full Time</v>
      </c>
      <c r="F350" t="s">
        <v>12</v>
      </c>
      <c r="G350" t="s">
        <v>31</v>
      </c>
      <c r="H350">
        <v>90320</v>
      </c>
      <c r="I350" t="s">
        <v>19</v>
      </c>
      <c r="J350">
        <v>90320</v>
      </c>
      <c r="K350" t="s">
        <v>29</v>
      </c>
      <c r="L350">
        <v>100</v>
      </c>
      <c r="M350" t="s">
        <v>29</v>
      </c>
      <c r="N350" t="s">
        <v>25</v>
      </c>
      <c r="O350" t="str">
        <f>VLOOKUP(SalaryInfo[[#This Row],[company_size]],CompanySize[],2,FALSE)</f>
        <v>Medium</v>
      </c>
    </row>
    <row r="351" spans="1:15">
      <c r="A351">
        <v>331</v>
      </c>
      <c r="B351">
        <v>2022</v>
      </c>
      <c r="C351" t="str">
        <f>VLOOKUP(SalaryInfo[[#This Row],[experience_level]],Experience[],2,FALSE)</f>
        <v>Senior</v>
      </c>
      <c r="D351" t="s">
        <v>17</v>
      </c>
      <c r="E351" t="str">
        <f>VLOOKUP(SalaryInfo[[#This Row],[employment_type]],EmpType[],2,FALSE)</f>
        <v>Full Time</v>
      </c>
      <c r="F351" t="s">
        <v>12</v>
      </c>
      <c r="G351" t="s">
        <v>31</v>
      </c>
      <c r="H351">
        <v>90320</v>
      </c>
      <c r="I351" t="s">
        <v>19</v>
      </c>
      <c r="J351">
        <v>90320</v>
      </c>
      <c r="K351" t="s">
        <v>29</v>
      </c>
      <c r="L351">
        <v>100</v>
      </c>
      <c r="M351" t="s">
        <v>29</v>
      </c>
      <c r="N351" t="s">
        <v>25</v>
      </c>
      <c r="O351" t="str">
        <f>VLOOKUP(SalaryInfo[[#This Row],[company_size]],CompanySize[],2,FALSE)</f>
        <v>Medium</v>
      </c>
    </row>
    <row r="352" spans="1:15">
      <c r="A352">
        <v>333</v>
      </c>
      <c r="B352">
        <v>2022</v>
      </c>
      <c r="C352" t="str">
        <f>VLOOKUP(SalaryInfo[[#This Row],[experience_level]],Experience[],2,FALSE)</f>
        <v>Senior</v>
      </c>
      <c r="D352" t="s">
        <v>17</v>
      </c>
      <c r="E352" t="str">
        <f>VLOOKUP(SalaryInfo[[#This Row],[employment_type]],EmpType[],2,FALSE)</f>
        <v>Full Time</v>
      </c>
      <c r="F352" t="s">
        <v>12</v>
      </c>
      <c r="G352" t="s">
        <v>31</v>
      </c>
      <c r="H352">
        <v>90320</v>
      </c>
      <c r="I352" t="s">
        <v>19</v>
      </c>
      <c r="J352">
        <v>90320</v>
      </c>
      <c r="K352" t="s">
        <v>29</v>
      </c>
      <c r="L352">
        <v>100</v>
      </c>
      <c r="M352" t="s">
        <v>29</v>
      </c>
      <c r="N352" t="s">
        <v>25</v>
      </c>
      <c r="O352" t="str">
        <f>VLOOKUP(SalaryInfo[[#This Row],[company_size]],CompanySize[],2,FALSE)</f>
        <v>Medium</v>
      </c>
    </row>
    <row r="353" spans="1:15">
      <c r="A353">
        <v>393</v>
      </c>
      <c r="B353">
        <v>2022</v>
      </c>
      <c r="C353" t="str">
        <f>VLOOKUP(SalaryInfo[[#This Row],[experience_level]],Experience[],2,FALSE)</f>
        <v>Senior</v>
      </c>
      <c r="D353" t="s">
        <v>17</v>
      </c>
      <c r="E353" t="str">
        <f>VLOOKUP(SalaryInfo[[#This Row],[employment_type]],EmpType[],2,FALSE)</f>
        <v>Full Time</v>
      </c>
      <c r="F353" t="s">
        <v>12</v>
      </c>
      <c r="G353" t="s">
        <v>31</v>
      </c>
      <c r="H353">
        <v>90320</v>
      </c>
      <c r="I353" t="s">
        <v>19</v>
      </c>
      <c r="J353">
        <v>90320</v>
      </c>
      <c r="K353" t="s">
        <v>29</v>
      </c>
      <c r="L353">
        <v>100</v>
      </c>
      <c r="M353" t="s">
        <v>29</v>
      </c>
      <c r="N353" t="s">
        <v>25</v>
      </c>
      <c r="O353" t="str">
        <f>VLOOKUP(SalaryInfo[[#This Row],[company_size]],CompanySize[],2,FALSE)</f>
        <v>Medium</v>
      </c>
    </row>
    <row r="354" spans="1:15">
      <c r="A354">
        <v>529</v>
      </c>
      <c r="B354">
        <v>2022</v>
      </c>
      <c r="C354" t="str">
        <f>VLOOKUP(SalaryInfo[[#This Row],[experience_level]],Experience[],2,FALSE)</f>
        <v>Senior</v>
      </c>
      <c r="D354" t="s">
        <v>17</v>
      </c>
      <c r="E354" t="str">
        <f>VLOOKUP(SalaryInfo[[#This Row],[employment_type]],EmpType[],2,FALSE)</f>
        <v>Full Time</v>
      </c>
      <c r="F354" t="s">
        <v>12</v>
      </c>
      <c r="G354" t="s">
        <v>31</v>
      </c>
      <c r="H354">
        <v>90320</v>
      </c>
      <c r="I354" t="s">
        <v>19</v>
      </c>
      <c r="J354">
        <v>90320</v>
      </c>
      <c r="K354" t="s">
        <v>29</v>
      </c>
      <c r="L354">
        <v>100</v>
      </c>
      <c r="M354" t="s">
        <v>29</v>
      </c>
      <c r="N354" t="s">
        <v>25</v>
      </c>
      <c r="O354" t="str">
        <f>VLOOKUP(SalaryInfo[[#This Row],[company_size]],CompanySize[],2,FALSE)</f>
        <v>Medium</v>
      </c>
    </row>
    <row r="355" spans="1:15">
      <c r="A355">
        <v>118</v>
      </c>
      <c r="B355">
        <v>2021</v>
      </c>
      <c r="C355" t="str">
        <f>VLOOKUP(SalaryInfo[[#This Row],[experience_level]],Experience[],2,FALSE)</f>
        <v>Junior</v>
      </c>
      <c r="D355" t="s">
        <v>30</v>
      </c>
      <c r="E355" t="str">
        <f>VLOOKUP(SalaryInfo[[#This Row],[employment_type]],EmpType[],2,FALSE)</f>
        <v>Full Time</v>
      </c>
      <c r="F355" t="s">
        <v>12</v>
      </c>
      <c r="G355" t="s">
        <v>31</v>
      </c>
      <c r="H355">
        <v>90000</v>
      </c>
      <c r="I355" t="s">
        <v>19</v>
      </c>
      <c r="J355">
        <v>90000</v>
      </c>
      <c r="K355" t="s">
        <v>29</v>
      </c>
      <c r="L355">
        <v>100</v>
      </c>
      <c r="M355" t="s">
        <v>29</v>
      </c>
      <c r="N355" t="s">
        <v>21</v>
      </c>
      <c r="O355" t="str">
        <f>VLOOKUP(SalaryInfo[[#This Row],[company_size]],CompanySize[],2,FALSE)</f>
        <v>Small</v>
      </c>
    </row>
    <row r="356" spans="1:15">
      <c r="A356">
        <v>199</v>
      </c>
      <c r="B356">
        <v>2021</v>
      </c>
      <c r="C356" t="str">
        <f>VLOOKUP(SalaryInfo[[#This Row],[experience_level]],Experience[],2,FALSE)</f>
        <v>Junior</v>
      </c>
      <c r="D356" t="s">
        <v>30</v>
      </c>
      <c r="E356" t="str">
        <f>VLOOKUP(SalaryInfo[[#This Row],[employment_type]],EmpType[],2,FALSE)</f>
        <v>Full Time</v>
      </c>
      <c r="F356" t="s">
        <v>12</v>
      </c>
      <c r="G356" t="s">
        <v>46</v>
      </c>
      <c r="H356">
        <v>90000</v>
      </c>
      <c r="I356" t="s">
        <v>19</v>
      </c>
      <c r="J356">
        <v>90000</v>
      </c>
      <c r="K356" t="s">
        <v>29</v>
      </c>
      <c r="L356">
        <v>100</v>
      </c>
      <c r="M356" t="s">
        <v>29</v>
      </c>
      <c r="N356" t="s">
        <v>21</v>
      </c>
      <c r="O356" t="str">
        <f>VLOOKUP(SalaryInfo[[#This Row],[company_size]],CompanySize[],2,FALSE)</f>
        <v>Small</v>
      </c>
    </row>
    <row r="357" spans="1:15">
      <c r="A357">
        <v>251</v>
      </c>
      <c r="B357">
        <v>2021</v>
      </c>
      <c r="C357" t="str">
        <f>VLOOKUP(SalaryInfo[[#This Row],[experience_level]],Experience[],2,FALSE)</f>
        <v>Junior</v>
      </c>
      <c r="D357" t="s">
        <v>30</v>
      </c>
      <c r="E357" t="str">
        <f>VLOOKUP(SalaryInfo[[#This Row],[employment_type]],EmpType[],2,FALSE)</f>
        <v>Full Time</v>
      </c>
      <c r="F357" t="s">
        <v>12</v>
      </c>
      <c r="G357" t="s">
        <v>13</v>
      </c>
      <c r="H357">
        <v>90000</v>
      </c>
      <c r="I357" t="s">
        <v>19</v>
      </c>
      <c r="J357">
        <v>90000</v>
      </c>
      <c r="K357" t="s">
        <v>29</v>
      </c>
      <c r="L357">
        <v>100</v>
      </c>
      <c r="M357" t="s">
        <v>29</v>
      </c>
      <c r="N357" t="s">
        <v>21</v>
      </c>
      <c r="O357" t="str">
        <f>VLOOKUP(SalaryInfo[[#This Row],[company_size]],CompanySize[],2,FALSE)</f>
        <v>Small</v>
      </c>
    </row>
    <row r="358" spans="1:15">
      <c r="A358">
        <v>135</v>
      </c>
      <c r="B358">
        <v>2021</v>
      </c>
      <c r="C358" t="str">
        <f>VLOOKUP(SalaryInfo[[#This Row],[experience_level]],Experience[],2,FALSE)</f>
        <v>Intermediate</v>
      </c>
      <c r="D358" t="s">
        <v>11</v>
      </c>
      <c r="E358" t="str">
        <f>VLOOKUP(SalaryInfo[[#This Row],[employment_type]],EmpType[],2,FALSE)</f>
        <v>Full Time</v>
      </c>
      <c r="F358" t="s">
        <v>12</v>
      </c>
      <c r="G358" t="s">
        <v>31</v>
      </c>
      <c r="H358">
        <v>90000</v>
      </c>
      <c r="I358" t="s">
        <v>19</v>
      </c>
      <c r="J358">
        <v>90000</v>
      </c>
      <c r="K358" t="s">
        <v>29</v>
      </c>
      <c r="L358">
        <v>100</v>
      </c>
      <c r="M358" t="s">
        <v>29</v>
      </c>
      <c r="N358" t="s">
        <v>25</v>
      </c>
      <c r="O358" t="str">
        <f>VLOOKUP(SalaryInfo[[#This Row],[company_size]],CompanySize[],2,FALSE)</f>
        <v>Medium</v>
      </c>
    </row>
    <row r="359" spans="1:15">
      <c r="A359">
        <v>147</v>
      </c>
      <c r="B359">
        <v>2021</v>
      </c>
      <c r="C359" t="str">
        <f>VLOOKUP(SalaryInfo[[#This Row],[experience_level]],Experience[],2,FALSE)</f>
        <v>Intermediate</v>
      </c>
      <c r="D359" t="s">
        <v>11</v>
      </c>
      <c r="E359" t="str">
        <f>VLOOKUP(SalaryInfo[[#This Row],[employment_type]],EmpType[],2,FALSE)</f>
        <v>Full Time</v>
      </c>
      <c r="F359" t="s">
        <v>12</v>
      </c>
      <c r="G359" t="s">
        <v>43</v>
      </c>
      <c r="H359">
        <v>90000</v>
      </c>
      <c r="I359" t="s">
        <v>19</v>
      </c>
      <c r="J359">
        <v>90000</v>
      </c>
      <c r="K359" t="s">
        <v>29</v>
      </c>
      <c r="L359">
        <v>100</v>
      </c>
      <c r="M359" t="s">
        <v>29</v>
      </c>
      <c r="N359" t="s">
        <v>16</v>
      </c>
      <c r="O359" t="str">
        <f>VLOOKUP(SalaryInfo[[#This Row],[company_size]],CompanySize[],2,FALSE)</f>
        <v>Large</v>
      </c>
    </row>
    <row r="360" spans="1:15">
      <c r="A360">
        <v>293</v>
      </c>
      <c r="B360">
        <v>2022</v>
      </c>
      <c r="C360" t="str">
        <f>VLOOKUP(SalaryInfo[[#This Row],[experience_level]],Experience[],2,FALSE)</f>
        <v>Intermediate</v>
      </c>
      <c r="D360" t="s">
        <v>11</v>
      </c>
      <c r="E360" t="str">
        <f>VLOOKUP(SalaryInfo[[#This Row],[employment_type]],EmpType[],2,FALSE)</f>
        <v>Full Time</v>
      </c>
      <c r="F360" t="s">
        <v>12</v>
      </c>
      <c r="G360" t="s">
        <v>13</v>
      </c>
      <c r="H360">
        <v>90000</v>
      </c>
      <c r="I360" t="s">
        <v>19</v>
      </c>
      <c r="J360">
        <v>90000</v>
      </c>
      <c r="K360" t="s">
        <v>29</v>
      </c>
      <c r="L360">
        <v>0</v>
      </c>
      <c r="M360" t="s">
        <v>29</v>
      </c>
      <c r="N360" t="s">
        <v>25</v>
      </c>
      <c r="O360" t="str">
        <f>VLOOKUP(SalaryInfo[[#This Row],[company_size]],CompanySize[],2,FALSE)</f>
        <v>Medium</v>
      </c>
    </row>
    <row r="361" spans="1:15">
      <c r="A361">
        <v>95</v>
      </c>
      <c r="B361">
        <v>2021</v>
      </c>
      <c r="C361" t="str">
        <f>VLOOKUP(SalaryInfo[[#This Row],[experience_level]],Experience[],2,FALSE)</f>
        <v>Intermediate</v>
      </c>
      <c r="D361" t="s">
        <v>11</v>
      </c>
      <c r="E361" t="str">
        <f>VLOOKUP(SalaryInfo[[#This Row],[employment_type]],EmpType[],2,FALSE)</f>
        <v>Full Time</v>
      </c>
      <c r="F361" t="s">
        <v>12</v>
      </c>
      <c r="G361" t="s">
        <v>88</v>
      </c>
      <c r="H361">
        <v>120000</v>
      </c>
      <c r="I361" t="s">
        <v>89</v>
      </c>
      <c r="J361">
        <v>89294</v>
      </c>
      <c r="K361" t="s">
        <v>90</v>
      </c>
      <c r="L361">
        <v>50</v>
      </c>
      <c r="M361" t="s">
        <v>90</v>
      </c>
      <c r="N361" t="s">
        <v>16</v>
      </c>
      <c r="O361" t="str">
        <f>VLOOKUP(SalaryInfo[[#This Row],[company_size]],CompanySize[],2,FALSE)</f>
        <v>Large</v>
      </c>
    </row>
    <row r="362" spans="1:15">
      <c r="A362">
        <v>90</v>
      </c>
      <c r="B362">
        <v>2021</v>
      </c>
      <c r="C362" t="str">
        <f>VLOOKUP(SalaryInfo[[#This Row],[experience_level]],Experience[],2,FALSE)</f>
        <v>Senior</v>
      </c>
      <c r="D362" t="s">
        <v>17</v>
      </c>
      <c r="E362" t="str">
        <f>VLOOKUP(SalaryInfo[[#This Row],[employment_type]],EmpType[],2,FALSE)</f>
        <v>Full Time</v>
      </c>
      <c r="F362" t="s">
        <v>12</v>
      </c>
      <c r="G362" t="s">
        <v>87</v>
      </c>
      <c r="H362">
        <v>75000</v>
      </c>
      <c r="I362" t="s">
        <v>14</v>
      </c>
      <c r="J362">
        <v>88654</v>
      </c>
      <c r="K362" t="s">
        <v>50</v>
      </c>
      <c r="L362">
        <v>100</v>
      </c>
      <c r="M362" t="s">
        <v>72</v>
      </c>
      <c r="N362" t="s">
        <v>16</v>
      </c>
      <c r="O362" t="str">
        <f>VLOOKUP(SalaryInfo[[#This Row],[company_size]],CompanySize[],2,FALSE)</f>
        <v>Large</v>
      </c>
    </row>
    <row r="363" spans="1:15">
      <c r="A363">
        <v>218</v>
      </c>
      <c r="B363">
        <v>2021</v>
      </c>
      <c r="C363" t="str">
        <f>VLOOKUP(SalaryInfo[[#This Row],[experience_level]],Experience[],2,FALSE)</f>
        <v>Intermediate</v>
      </c>
      <c r="D363" t="s">
        <v>11</v>
      </c>
      <c r="E363" t="str">
        <f>VLOOKUP(SalaryInfo[[#This Row],[employment_type]],EmpType[],2,FALSE)</f>
        <v>Full Time</v>
      </c>
      <c r="F363" t="s">
        <v>12</v>
      </c>
      <c r="G363" t="s">
        <v>28</v>
      </c>
      <c r="H363">
        <v>75000</v>
      </c>
      <c r="I363" t="s">
        <v>14</v>
      </c>
      <c r="J363">
        <v>88654</v>
      </c>
      <c r="K363" t="s">
        <v>102</v>
      </c>
      <c r="L363">
        <v>100</v>
      </c>
      <c r="M363" t="s">
        <v>102</v>
      </c>
      <c r="N363" t="s">
        <v>25</v>
      </c>
      <c r="O363" t="str">
        <f>VLOOKUP(SalaryInfo[[#This Row],[company_size]],CompanySize[],2,FALSE)</f>
        <v>Medium</v>
      </c>
    </row>
    <row r="364" spans="1:15">
      <c r="A364">
        <v>227</v>
      </c>
      <c r="B364">
        <v>2021</v>
      </c>
      <c r="C364" t="str">
        <f>VLOOKUP(SalaryInfo[[#This Row],[experience_level]],Experience[],2,FALSE)</f>
        <v>Intermediate</v>
      </c>
      <c r="D364" t="s">
        <v>11</v>
      </c>
      <c r="E364" t="str">
        <f>VLOOKUP(SalaryInfo[[#This Row],[employment_type]],EmpType[],2,FALSE)</f>
        <v>Full Time</v>
      </c>
      <c r="F364" t="s">
        <v>12</v>
      </c>
      <c r="G364" t="s">
        <v>13</v>
      </c>
      <c r="H364">
        <v>75000</v>
      </c>
      <c r="I364" t="s">
        <v>14</v>
      </c>
      <c r="J364">
        <v>88654</v>
      </c>
      <c r="K364" t="s">
        <v>15</v>
      </c>
      <c r="L364">
        <v>50</v>
      </c>
      <c r="M364" t="s">
        <v>15</v>
      </c>
      <c r="N364" t="s">
        <v>16</v>
      </c>
      <c r="O364" t="str">
        <f>VLOOKUP(SalaryInfo[[#This Row],[company_size]],CompanySize[],2,FALSE)</f>
        <v>Large</v>
      </c>
    </row>
    <row r="365" spans="1:15">
      <c r="A365">
        <v>396</v>
      </c>
      <c r="B365">
        <v>2022</v>
      </c>
      <c r="C365" t="str">
        <f>VLOOKUP(SalaryInfo[[#This Row],[experience_level]],Experience[],2,FALSE)</f>
        <v>Intermediate</v>
      </c>
      <c r="D365" t="s">
        <v>11</v>
      </c>
      <c r="E365" t="str">
        <f>VLOOKUP(SalaryInfo[[#This Row],[employment_type]],EmpType[],2,FALSE)</f>
        <v>Full Time</v>
      </c>
      <c r="F365" t="s">
        <v>12</v>
      </c>
      <c r="G365" t="s">
        <v>28</v>
      </c>
      <c r="H365">
        <v>80000</v>
      </c>
      <c r="I365" t="s">
        <v>14</v>
      </c>
      <c r="J365">
        <v>87932</v>
      </c>
      <c r="K365" t="s">
        <v>38</v>
      </c>
      <c r="L365">
        <v>100</v>
      </c>
      <c r="M365" t="s">
        <v>15</v>
      </c>
      <c r="N365" t="s">
        <v>25</v>
      </c>
      <c r="O365" t="str">
        <f>VLOOKUP(SalaryInfo[[#This Row],[company_size]],CompanySize[],2,FALSE)</f>
        <v>Medium</v>
      </c>
    </row>
    <row r="366" spans="1:15">
      <c r="A366">
        <v>432</v>
      </c>
      <c r="B366">
        <v>2022</v>
      </c>
      <c r="C366" t="str">
        <f>VLOOKUP(SalaryInfo[[#This Row],[experience_level]],Experience[],2,FALSE)</f>
        <v>Intermediate</v>
      </c>
      <c r="D366" t="s">
        <v>11</v>
      </c>
      <c r="E366" t="str">
        <f>VLOOKUP(SalaryInfo[[#This Row],[employment_type]],EmpType[],2,FALSE)</f>
        <v>Full Time</v>
      </c>
      <c r="F366" t="s">
        <v>12</v>
      </c>
      <c r="G366" t="s">
        <v>43</v>
      </c>
      <c r="H366">
        <v>80000</v>
      </c>
      <c r="I366" t="s">
        <v>14</v>
      </c>
      <c r="J366">
        <v>87932</v>
      </c>
      <c r="K366" t="s">
        <v>67</v>
      </c>
      <c r="L366">
        <v>100</v>
      </c>
      <c r="M366" t="s">
        <v>67</v>
      </c>
      <c r="N366" t="s">
        <v>25</v>
      </c>
      <c r="O366" t="str">
        <f>VLOOKUP(SalaryInfo[[#This Row],[company_size]],CompanySize[],2,FALSE)</f>
        <v>Medium</v>
      </c>
    </row>
    <row r="367" spans="1:15">
      <c r="A367">
        <v>437</v>
      </c>
      <c r="B367">
        <v>2022</v>
      </c>
      <c r="C367" t="str">
        <f>VLOOKUP(SalaryInfo[[#This Row],[experience_level]],Experience[],2,FALSE)</f>
        <v>Intermediate</v>
      </c>
      <c r="D367" t="s">
        <v>11</v>
      </c>
      <c r="E367" t="str">
        <f>VLOOKUP(SalaryInfo[[#This Row],[employment_type]],EmpType[],2,FALSE)</f>
        <v>Full Time</v>
      </c>
      <c r="F367" t="s">
        <v>12</v>
      </c>
      <c r="G367" t="s">
        <v>43</v>
      </c>
      <c r="H367">
        <v>80000</v>
      </c>
      <c r="I367" t="s">
        <v>14</v>
      </c>
      <c r="J367">
        <v>87932</v>
      </c>
      <c r="K367" t="s">
        <v>50</v>
      </c>
      <c r="L367">
        <v>100</v>
      </c>
      <c r="M367" t="s">
        <v>50</v>
      </c>
      <c r="N367" t="s">
        <v>25</v>
      </c>
      <c r="O367" t="str">
        <f>VLOOKUP(SalaryInfo[[#This Row],[company_size]],CompanySize[],2,FALSE)</f>
        <v>Medium</v>
      </c>
    </row>
    <row r="368" spans="1:15">
      <c r="A368">
        <v>457</v>
      </c>
      <c r="B368">
        <v>2022</v>
      </c>
      <c r="C368" t="str">
        <f>VLOOKUP(SalaryInfo[[#This Row],[experience_level]],Experience[],2,FALSE)</f>
        <v>Senior</v>
      </c>
      <c r="D368" t="s">
        <v>17</v>
      </c>
      <c r="E368" t="str">
        <f>VLOOKUP(SalaryInfo[[#This Row],[employment_type]],EmpType[],2,FALSE)</f>
        <v>Full Time</v>
      </c>
      <c r="F368" t="s">
        <v>12</v>
      </c>
      <c r="G368" t="s">
        <v>136</v>
      </c>
      <c r="H368">
        <v>80000</v>
      </c>
      <c r="I368" t="s">
        <v>14</v>
      </c>
      <c r="J368">
        <v>87932</v>
      </c>
      <c r="K368" t="s">
        <v>15</v>
      </c>
      <c r="L368">
        <v>0</v>
      </c>
      <c r="M368" t="s">
        <v>15</v>
      </c>
      <c r="N368" t="s">
        <v>25</v>
      </c>
      <c r="O368" t="str">
        <f>VLOOKUP(SalaryInfo[[#This Row],[company_size]],CompanySize[],2,FALSE)</f>
        <v>Medium</v>
      </c>
    </row>
    <row r="369" spans="1:15">
      <c r="A369">
        <v>226</v>
      </c>
      <c r="B369">
        <v>2021</v>
      </c>
      <c r="C369" t="str">
        <f>VLOOKUP(SalaryInfo[[#This Row],[experience_level]],Experience[],2,FALSE)</f>
        <v>Senior</v>
      </c>
      <c r="D369" t="s">
        <v>17</v>
      </c>
      <c r="E369" t="str">
        <f>VLOOKUP(SalaryInfo[[#This Row],[employment_type]],EmpType[],2,FALSE)</f>
        <v>Full Time</v>
      </c>
      <c r="F369" t="s">
        <v>12</v>
      </c>
      <c r="G369" t="s">
        <v>13</v>
      </c>
      <c r="H369">
        <v>110000</v>
      </c>
      <c r="I369" t="s">
        <v>61</v>
      </c>
      <c r="J369">
        <v>87738</v>
      </c>
      <c r="K369" t="s">
        <v>62</v>
      </c>
      <c r="L369">
        <v>100</v>
      </c>
      <c r="M369" t="s">
        <v>62</v>
      </c>
      <c r="N369" t="s">
        <v>21</v>
      </c>
      <c r="O369" t="str">
        <f>VLOOKUP(SalaryInfo[[#This Row],[company_size]],CompanySize[],2,FALSE)</f>
        <v>Small</v>
      </c>
    </row>
    <row r="370" spans="1:15">
      <c r="A370">
        <v>503</v>
      </c>
      <c r="B370">
        <v>2022</v>
      </c>
      <c r="C370" t="str">
        <f>VLOOKUP(SalaryInfo[[#This Row],[experience_level]],Experience[],2,FALSE)</f>
        <v>Intermediate</v>
      </c>
      <c r="D370" t="s">
        <v>11</v>
      </c>
      <c r="E370" t="str">
        <f>VLOOKUP(SalaryInfo[[#This Row],[employment_type]],EmpType[],2,FALSE)</f>
        <v>Full Time</v>
      </c>
      <c r="F370" t="s">
        <v>12</v>
      </c>
      <c r="G370" t="s">
        <v>28</v>
      </c>
      <c r="H370">
        <v>121000</v>
      </c>
      <c r="I370" t="s">
        <v>141</v>
      </c>
      <c r="J370">
        <v>87425</v>
      </c>
      <c r="K370" t="s">
        <v>142</v>
      </c>
      <c r="L370">
        <v>100</v>
      </c>
      <c r="M370" t="s">
        <v>142</v>
      </c>
      <c r="N370" t="s">
        <v>16</v>
      </c>
      <c r="O370" t="str">
        <f>VLOOKUP(SalaryInfo[[#This Row],[company_size]],CompanySize[],2,FALSE)</f>
        <v>Large</v>
      </c>
    </row>
    <row r="371" spans="1:15">
      <c r="A371">
        <v>13</v>
      </c>
      <c r="B371">
        <v>2020</v>
      </c>
      <c r="C371" t="str">
        <f>VLOOKUP(SalaryInfo[[#This Row],[experience_level]],Experience[],2,FALSE)</f>
        <v>Intermediate</v>
      </c>
      <c r="D371" t="s">
        <v>11</v>
      </c>
      <c r="E371" t="str">
        <f>VLOOKUP(SalaryInfo[[#This Row],[employment_type]],EmpType[],2,FALSE)</f>
        <v>Full Time</v>
      </c>
      <c r="F371" t="s">
        <v>12</v>
      </c>
      <c r="G371" t="s">
        <v>41</v>
      </c>
      <c r="H371">
        <v>87000</v>
      </c>
      <c r="I371" t="s">
        <v>19</v>
      </c>
      <c r="J371">
        <v>87000</v>
      </c>
      <c r="K371" t="s">
        <v>29</v>
      </c>
      <c r="L371">
        <v>100</v>
      </c>
      <c r="M371" t="s">
        <v>29</v>
      </c>
      <c r="N371" t="s">
        <v>16</v>
      </c>
      <c r="O371" t="str">
        <f>VLOOKUP(SalaryInfo[[#This Row],[company_size]],CompanySize[],2,FALSE)</f>
        <v>Large</v>
      </c>
    </row>
    <row r="372" spans="1:15">
      <c r="A372">
        <v>505</v>
      </c>
      <c r="B372">
        <v>2022</v>
      </c>
      <c r="C372" t="str">
        <f>VLOOKUP(SalaryInfo[[#This Row],[experience_level]],Experience[],2,FALSE)</f>
        <v>Junior</v>
      </c>
      <c r="D372" t="s">
        <v>30</v>
      </c>
      <c r="E372" t="str">
        <f>VLOOKUP(SalaryInfo[[#This Row],[employment_type]],EmpType[],2,FALSE)</f>
        <v>Full Time</v>
      </c>
      <c r="F372" t="s">
        <v>12</v>
      </c>
      <c r="G372" t="s">
        <v>13</v>
      </c>
      <c r="H372">
        <v>120000</v>
      </c>
      <c r="I372" t="s">
        <v>141</v>
      </c>
      <c r="J372">
        <v>86703</v>
      </c>
      <c r="K372" t="s">
        <v>142</v>
      </c>
      <c r="L372">
        <v>50</v>
      </c>
      <c r="M372" t="s">
        <v>142</v>
      </c>
      <c r="N372" t="s">
        <v>25</v>
      </c>
      <c r="O372" t="str">
        <f>VLOOKUP(SalaryInfo[[#This Row],[company_size]],CompanySize[],2,FALSE)</f>
        <v>Medium</v>
      </c>
    </row>
    <row r="373" spans="1:15">
      <c r="A373">
        <v>161</v>
      </c>
      <c r="B373">
        <v>2021</v>
      </c>
      <c r="C373" t="str">
        <f>VLOOKUP(SalaryInfo[[#This Row],[experience_level]],Experience[],2,FALSE)</f>
        <v>Director</v>
      </c>
      <c r="D373" t="s">
        <v>53</v>
      </c>
      <c r="E373" t="str">
        <f>VLOOKUP(SalaryInfo[[#This Row],[employment_type]],EmpType[],2,FALSE)</f>
        <v>Full Time</v>
      </c>
      <c r="F373" t="s">
        <v>12</v>
      </c>
      <c r="G373" t="s">
        <v>106</v>
      </c>
      <c r="H373">
        <v>85000</v>
      </c>
      <c r="I373" t="s">
        <v>19</v>
      </c>
      <c r="J373">
        <v>85000</v>
      </c>
      <c r="K373" t="s">
        <v>75</v>
      </c>
      <c r="L373">
        <v>0</v>
      </c>
      <c r="M373" t="s">
        <v>75</v>
      </c>
      <c r="N373" t="s">
        <v>25</v>
      </c>
      <c r="O373" t="str">
        <f>VLOOKUP(SalaryInfo[[#This Row],[company_size]],CompanySize[],2,FALSE)</f>
        <v>Medium</v>
      </c>
    </row>
    <row r="374" spans="1:15">
      <c r="A374">
        <v>273</v>
      </c>
      <c r="B374">
        <v>2021</v>
      </c>
      <c r="C374" t="str">
        <f>VLOOKUP(SalaryInfo[[#This Row],[experience_level]],Experience[],2,FALSE)</f>
        <v>Junior</v>
      </c>
      <c r="D374" t="s">
        <v>30</v>
      </c>
      <c r="E374" t="str">
        <f>VLOOKUP(SalaryInfo[[#This Row],[employment_type]],EmpType[],2,FALSE)</f>
        <v>Full Time</v>
      </c>
      <c r="F374" t="s">
        <v>12</v>
      </c>
      <c r="G374" t="s">
        <v>28</v>
      </c>
      <c r="H374">
        <v>85000</v>
      </c>
      <c r="I374" t="s">
        <v>19</v>
      </c>
      <c r="J374">
        <v>85000</v>
      </c>
      <c r="K374" t="s">
        <v>56</v>
      </c>
      <c r="L374">
        <v>100</v>
      </c>
      <c r="M374" t="s">
        <v>15</v>
      </c>
      <c r="N374" t="s">
        <v>21</v>
      </c>
      <c r="O374" t="str">
        <f>VLOOKUP(SalaryInfo[[#This Row],[company_size]],CompanySize[],2,FALSE)</f>
        <v>Small</v>
      </c>
    </row>
    <row r="375" spans="1:15">
      <c r="A375">
        <v>14</v>
      </c>
      <c r="B375">
        <v>2020</v>
      </c>
      <c r="C375" t="str">
        <f>VLOOKUP(SalaryInfo[[#This Row],[experience_level]],Experience[],2,FALSE)</f>
        <v>Intermediate</v>
      </c>
      <c r="D375" t="s">
        <v>11</v>
      </c>
      <c r="E375" t="str">
        <f>VLOOKUP(SalaryInfo[[#This Row],[employment_type]],EmpType[],2,FALSE)</f>
        <v>Full Time</v>
      </c>
      <c r="F375" t="s">
        <v>12</v>
      </c>
      <c r="G375" t="s">
        <v>31</v>
      </c>
      <c r="H375">
        <v>85000</v>
      </c>
      <c r="I375" t="s">
        <v>19</v>
      </c>
      <c r="J375">
        <v>85000</v>
      </c>
      <c r="K375" t="s">
        <v>29</v>
      </c>
      <c r="L375">
        <v>100</v>
      </c>
      <c r="M375" t="s">
        <v>29</v>
      </c>
      <c r="N375" t="s">
        <v>16</v>
      </c>
      <c r="O375" t="str">
        <f>VLOOKUP(SalaryInfo[[#This Row],[company_size]],CompanySize[],2,FALSE)</f>
        <v>Large</v>
      </c>
    </row>
    <row r="376" spans="1:15">
      <c r="A376">
        <v>530</v>
      </c>
      <c r="B376">
        <v>2022</v>
      </c>
      <c r="C376" t="str">
        <f>VLOOKUP(SalaryInfo[[#This Row],[experience_level]],Experience[],2,FALSE)</f>
        <v>Intermediate</v>
      </c>
      <c r="D376" t="s">
        <v>11</v>
      </c>
      <c r="E376" t="str">
        <f>VLOOKUP(SalaryInfo[[#This Row],[employment_type]],EmpType[],2,FALSE)</f>
        <v>Full Time</v>
      </c>
      <c r="F376" t="s">
        <v>12</v>
      </c>
      <c r="G376" t="s">
        <v>31</v>
      </c>
      <c r="H376">
        <v>85000</v>
      </c>
      <c r="I376" t="s">
        <v>19</v>
      </c>
      <c r="J376">
        <v>85000</v>
      </c>
      <c r="K376" t="s">
        <v>62</v>
      </c>
      <c r="L376">
        <v>0</v>
      </c>
      <c r="M376" t="s">
        <v>62</v>
      </c>
      <c r="N376" t="s">
        <v>25</v>
      </c>
      <c r="O376" t="str">
        <f>VLOOKUP(SalaryInfo[[#This Row],[company_size]],CompanySize[],2,FALSE)</f>
        <v>Medium</v>
      </c>
    </row>
    <row r="377" spans="1:15">
      <c r="A377">
        <v>297</v>
      </c>
      <c r="B377">
        <v>2022</v>
      </c>
      <c r="C377" t="str">
        <f>VLOOKUP(SalaryInfo[[#This Row],[experience_level]],Experience[],2,FALSE)</f>
        <v>Senior</v>
      </c>
      <c r="D377" t="s">
        <v>17</v>
      </c>
      <c r="E377" t="str">
        <f>VLOOKUP(SalaryInfo[[#This Row],[employment_type]],EmpType[],2,FALSE)</f>
        <v>Full Time</v>
      </c>
      <c r="F377" t="s">
        <v>12</v>
      </c>
      <c r="G377" t="s">
        <v>31</v>
      </c>
      <c r="H377">
        <v>84900</v>
      </c>
      <c r="I377" t="s">
        <v>19</v>
      </c>
      <c r="J377">
        <v>84900</v>
      </c>
      <c r="K377" t="s">
        <v>29</v>
      </c>
      <c r="L377">
        <v>100</v>
      </c>
      <c r="M377" t="s">
        <v>29</v>
      </c>
      <c r="N377" t="s">
        <v>25</v>
      </c>
      <c r="O377" t="str">
        <f>VLOOKUP(SalaryInfo[[#This Row],[company_size]],CompanySize[],2,FALSE)</f>
        <v>Medium</v>
      </c>
    </row>
    <row r="378" spans="1:15">
      <c r="A378">
        <v>425</v>
      </c>
      <c r="B378">
        <v>2022</v>
      </c>
      <c r="C378" t="str">
        <f>VLOOKUP(SalaryInfo[[#This Row],[experience_level]],Experience[],2,FALSE)</f>
        <v>Intermediate</v>
      </c>
      <c r="D378" t="s">
        <v>11</v>
      </c>
      <c r="E378" t="str">
        <f>VLOOKUP(SalaryInfo[[#This Row],[employment_type]],EmpType[],2,FALSE)</f>
        <v>Full Time</v>
      </c>
      <c r="F378" t="s">
        <v>12</v>
      </c>
      <c r="G378" t="s">
        <v>43</v>
      </c>
      <c r="H378">
        <v>82900</v>
      </c>
      <c r="I378" t="s">
        <v>19</v>
      </c>
      <c r="J378">
        <v>82900</v>
      </c>
      <c r="K378" t="s">
        <v>29</v>
      </c>
      <c r="L378">
        <v>0</v>
      </c>
      <c r="M378" t="s">
        <v>29</v>
      </c>
      <c r="N378" t="s">
        <v>25</v>
      </c>
      <c r="O378" t="str">
        <f>VLOOKUP(SalaryInfo[[#This Row],[company_size]],CompanySize[],2,FALSE)</f>
        <v>Medium</v>
      </c>
    </row>
    <row r="379" spans="1:15">
      <c r="A379">
        <v>145</v>
      </c>
      <c r="B379">
        <v>2021</v>
      </c>
      <c r="C379" t="str">
        <f>VLOOKUP(SalaryInfo[[#This Row],[experience_level]],Experience[],2,FALSE)</f>
        <v>Senior</v>
      </c>
      <c r="D379" t="s">
        <v>17</v>
      </c>
      <c r="E379" t="str">
        <f>VLOOKUP(SalaryInfo[[#This Row],[employment_type]],EmpType[],2,FALSE)</f>
        <v>Full Time</v>
      </c>
      <c r="F379" t="s">
        <v>12</v>
      </c>
      <c r="G379" t="s">
        <v>28</v>
      </c>
      <c r="H379">
        <v>70000</v>
      </c>
      <c r="I379" t="s">
        <v>14</v>
      </c>
      <c r="J379">
        <v>82744</v>
      </c>
      <c r="K379" t="s">
        <v>102</v>
      </c>
      <c r="L379">
        <v>50</v>
      </c>
      <c r="M379" t="s">
        <v>102</v>
      </c>
      <c r="N379" t="s">
        <v>25</v>
      </c>
      <c r="O379" t="str">
        <f>VLOOKUP(SalaryInfo[[#This Row],[company_size]],CompanySize[],2,FALSE)</f>
        <v>Medium</v>
      </c>
    </row>
    <row r="380" spans="1:15">
      <c r="A380">
        <v>72</v>
      </c>
      <c r="B380">
        <v>2021</v>
      </c>
      <c r="C380" t="str">
        <f>VLOOKUP(SalaryInfo[[#This Row],[experience_level]],Experience[],2,FALSE)</f>
        <v>Junior</v>
      </c>
      <c r="D380" t="s">
        <v>30</v>
      </c>
      <c r="E380" t="str">
        <f>VLOOKUP(SalaryInfo[[#This Row],[employment_type]],EmpType[],2,FALSE)</f>
        <v>Full Time</v>
      </c>
      <c r="F380" t="s">
        <v>12</v>
      </c>
      <c r="G380" t="s">
        <v>55</v>
      </c>
      <c r="H380">
        <v>60000</v>
      </c>
      <c r="I380" t="s">
        <v>23</v>
      </c>
      <c r="J380">
        <v>82528</v>
      </c>
      <c r="K380" t="s">
        <v>24</v>
      </c>
      <c r="L380">
        <v>50</v>
      </c>
      <c r="M380" t="s">
        <v>24</v>
      </c>
      <c r="N380" t="s">
        <v>16</v>
      </c>
      <c r="O380" t="str">
        <f>VLOOKUP(SalaryInfo[[#This Row],[company_size]],CompanySize[],2,FALSE)</f>
        <v>Large</v>
      </c>
    </row>
    <row r="381" spans="1:15">
      <c r="A381">
        <v>171</v>
      </c>
      <c r="B381">
        <v>2021</v>
      </c>
      <c r="C381" t="str">
        <f>VLOOKUP(SalaryInfo[[#This Row],[experience_level]],Experience[],2,FALSE)</f>
        <v>Intermediate</v>
      </c>
      <c r="D381" t="s">
        <v>11</v>
      </c>
      <c r="E381" t="str">
        <f>VLOOKUP(SalaryInfo[[#This Row],[employment_type]],EmpType[],2,FALSE)</f>
        <v>Full Time</v>
      </c>
      <c r="F381" t="s">
        <v>12</v>
      </c>
      <c r="G381" t="s">
        <v>43</v>
      </c>
      <c r="H381">
        <v>60000</v>
      </c>
      <c r="I381" t="s">
        <v>23</v>
      </c>
      <c r="J381">
        <v>82528</v>
      </c>
      <c r="K381" t="s">
        <v>24</v>
      </c>
      <c r="L381">
        <v>100</v>
      </c>
      <c r="M381" t="s">
        <v>24</v>
      </c>
      <c r="N381" t="s">
        <v>16</v>
      </c>
      <c r="O381" t="str">
        <f>VLOOKUP(SalaryInfo[[#This Row],[company_size]],CompanySize[],2,FALSE)</f>
        <v>Large</v>
      </c>
    </row>
    <row r="382" spans="1:15">
      <c r="A382">
        <v>143</v>
      </c>
      <c r="B382">
        <v>2021</v>
      </c>
      <c r="C382" t="str">
        <f>VLOOKUP(SalaryInfo[[#This Row],[experience_level]],Experience[],2,FALSE)</f>
        <v>Intermediate</v>
      </c>
      <c r="D382" t="s">
        <v>11</v>
      </c>
      <c r="E382" t="str">
        <f>VLOOKUP(SalaryInfo[[#This Row],[employment_type]],EmpType[],2,FALSE)</f>
        <v>Full Time</v>
      </c>
      <c r="F382" t="s">
        <v>12</v>
      </c>
      <c r="G382" t="s">
        <v>13</v>
      </c>
      <c r="H382">
        <v>82500</v>
      </c>
      <c r="I382" t="s">
        <v>19</v>
      </c>
      <c r="J382">
        <v>82500</v>
      </c>
      <c r="K382" t="s">
        <v>29</v>
      </c>
      <c r="L382">
        <v>100</v>
      </c>
      <c r="M382" t="s">
        <v>29</v>
      </c>
      <c r="N382" t="s">
        <v>21</v>
      </c>
      <c r="O382" t="str">
        <f>VLOOKUP(SalaryInfo[[#This Row],[company_size]],CompanySize[],2,FALSE)</f>
        <v>Small</v>
      </c>
    </row>
    <row r="383" spans="1:15">
      <c r="A383">
        <v>403</v>
      </c>
      <c r="B383">
        <v>2022</v>
      </c>
      <c r="C383" t="str">
        <f>VLOOKUP(SalaryInfo[[#This Row],[experience_level]],Experience[],2,FALSE)</f>
        <v>Senior</v>
      </c>
      <c r="D383" t="s">
        <v>17</v>
      </c>
      <c r="E383" t="str">
        <f>VLOOKUP(SalaryInfo[[#This Row],[employment_type]],EmpType[],2,FALSE)</f>
        <v>Full Time</v>
      </c>
      <c r="F383" t="s">
        <v>12</v>
      </c>
      <c r="G383" t="s">
        <v>31</v>
      </c>
      <c r="H383">
        <v>81666</v>
      </c>
      <c r="I383" t="s">
        <v>19</v>
      </c>
      <c r="J383">
        <v>81666</v>
      </c>
      <c r="K383" t="s">
        <v>29</v>
      </c>
      <c r="L383">
        <v>0</v>
      </c>
      <c r="M383" t="s">
        <v>29</v>
      </c>
      <c r="N383" t="s">
        <v>25</v>
      </c>
      <c r="O383" t="str">
        <f>VLOOKUP(SalaryInfo[[#This Row],[company_size]],CompanySize[],2,FALSE)</f>
        <v>Medium</v>
      </c>
    </row>
    <row r="384" spans="1:15">
      <c r="A384">
        <v>541</v>
      </c>
      <c r="B384">
        <v>2022</v>
      </c>
      <c r="C384" t="str">
        <f>VLOOKUP(SalaryInfo[[#This Row],[experience_level]],Experience[],2,FALSE)</f>
        <v>Senior</v>
      </c>
      <c r="D384" t="s">
        <v>17</v>
      </c>
      <c r="E384" t="str">
        <f>VLOOKUP(SalaryInfo[[#This Row],[employment_type]],EmpType[],2,FALSE)</f>
        <v>Full Time</v>
      </c>
      <c r="F384" t="s">
        <v>12</v>
      </c>
      <c r="G384" t="s">
        <v>31</v>
      </c>
      <c r="H384">
        <v>81666</v>
      </c>
      <c r="I384" t="s">
        <v>19</v>
      </c>
      <c r="J384">
        <v>81666</v>
      </c>
      <c r="K384" t="s">
        <v>29</v>
      </c>
      <c r="L384">
        <v>100</v>
      </c>
      <c r="M384" t="s">
        <v>29</v>
      </c>
      <c r="N384" t="s">
        <v>25</v>
      </c>
      <c r="O384" t="str">
        <f>VLOOKUP(SalaryInfo[[#This Row],[company_size]],CompanySize[],2,FALSE)</f>
        <v>Medium</v>
      </c>
    </row>
    <row r="385" spans="1:15">
      <c r="A385">
        <v>178</v>
      </c>
      <c r="B385">
        <v>2021</v>
      </c>
      <c r="C385" t="str">
        <f>VLOOKUP(SalaryInfo[[#This Row],[experience_level]],Experience[],2,FALSE)</f>
        <v>Junior</v>
      </c>
      <c r="D385" t="s">
        <v>30</v>
      </c>
      <c r="E385" t="str">
        <f>VLOOKUP(SalaryInfo[[#This Row],[employment_type]],EmpType[],2,FALSE)</f>
        <v>Full Time</v>
      </c>
      <c r="F385" t="s">
        <v>12</v>
      </c>
      <c r="G385" t="s">
        <v>28</v>
      </c>
      <c r="H385">
        <v>81000</v>
      </c>
      <c r="I385" t="s">
        <v>19</v>
      </c>
      <c r="J385">
        <v>81000</v>
      </c>
      <c r="K385" t="s">
        <v>29</v>
      </c>
      <c r="L385">
        <v>50</v>
      </c>
      <c r="M385" t="s">
        <v>29</v>
      </c>
      <c r="N385" t="s">
        <v>21</v>
      </c>
      <c r="O385" t="str">
        <f>VLOOKUP(SalaryInfo[[#This Row],[company_size]],CompanySize[],2,FALSE)</f>
        <v>Small</v>
      </c>
    </row>
    <row r="386" spans="1:15">
      <c r="A386">
        <v>79</v>
      </c>
      <c r="B386">
        <v>2021</v>
      </c>
      <c r="C386" t="str">
        <f>VLOOKUP(SalaryInfo[[#This Row],[experience_level]],Experience[],2,FALSE)</f>
        <v>Junior</v>
      </c>
      <c r="D386" t="s">
        <v>30</v>
      </c>
      <c r="E386" t="str">
        <f>VLOOKUP(SalaryInfo[[#This Row],[employment_type]],EmpType[],2,FALSE)</f>
        <v>Full Time</v>
      </c>
      <c r="F386" t="s">
        <v>12</v>
      </c>
      <c r="G386" t="s">
        <v>31</v>
      </c>
      <c r="H386">
        <v>80000</v>
      </c>
      <c r="I386" t="s">
        <v>19</v>
      </c>
      <c r="J386">
        <v>80000</v>
      </c>
      <c r="K386" t="s">
        <v>29</v>
      </c>
      <c r="L386">
        <v>100</v>
      </c>
      <c r="M386" t="s">
        <v>29</v>
      </c>
      <c r="N386" t="s">
        <v>25</v>
      </c>
      <c r="O386" t="str">
        <f>VLOOKUP(SalaryInfo[[#This Row],[company_size]],CompanySize[],2,FALSE)</f>
        <v>Medium</v>
      </c>
    </row>
    <row r="387" spans="1:15">
      <c r="A387">
        <v>89</v>
      </c>
      <c r="B387">
        <v>2021</v>
      </c>
      <c r="C387" t="str">
        <f>VLOOKUP(SalaryInfo[[#This Row],[experience_level]],Experience[],2,FALSE)</f>
        <v>Senior</v>
      </c>
      <c r="D387" t="s">
        <v>17</v>
      </c>
      <c r="E387" t="str">
        <f>VLOOKUP(SalaryInfo[[#This Row],[employment_type]],EmpType[],2,FALSE)</f>
        <v>Full Time</v>
      </c>
      <c r="F387" t="s">
        <v>12</v>
      </c>
      <c r="G387" t="s">
        <v>31</v>
      </c>
      <c r="H387">
        <v>80000</v>
      </c>
      <c r="I387" t="s">
        <v>19</v>
      </c>
      <c r="J387">
        <v>80000</v>
      </c>
      <c r="K387" t="s">
        <v>86</v>
      </c>
      <c r="L387">
        <v>100</v>
      </c>
      <c r="M387" t="s">
        <v>29</v>
      </c>
      <c r="N387" t="s">
        <v>21</v>
      </c>
      <c r="O387" t="str">
        <f>VLOOKUP(SalaryInfo[[#This Row],[company_size]],CompanySize[],2,FALSE)</f>
        <v>Small</v>
      </c>
    </row>
    <row r="388" spans="1:15">
      <c r="A388">
        <v>139</v>
      </c>
      <c r="B388">
        <v>2021</v>
      </c>
      <c r="C388" t="str">
        <f>VLOOKUP(SalaryInfo[[#This Row],[experience_level]],Experience[],2,FALSE)</f>
        <v>Junior</v>
      </c>
      <c r="D388" t="s">
        <v>30</v>
      </c>
      <c r="E388" t="str">
        <f>VLOOKUP(SalaryInfo[[#This Row],[employment_type]],EmpType[],2,FALSE)</f>
        <v>Full Time</v>
      </c>
      <c r="F388" t="s">
        <v>12</v>
      </c>
      <c r="G388" t="s">
        <v>13</v>
      </c>
      <c r="H388">
        <v>80000</v>
      </c>
      <c r="I388" t="s">
        <v>19</v>
      </c>
      <c r="J388">
        <v>80000</v>
      </c>
      <c r="K388" t="s">
        <v>29</v>
      </c>
      <c r="L388">
        <v>100</v>
      </c>
      <c r="M388" t="s">
        <v>29</v>
      </c>
      <c r="N388" t="s">
        <v>25</v>
      </c>
      <c r="O388" t="str">
        <f>VLOOKUP(SalaryInfo[[#This Row],[company_size]],CompanySize[],2,FALSE)</f>
        <v>Medium</v>
      </c>
    </row>
    <row r="389" spans="1:15">
      <c r="A389">
        <v>166</v>
      </c>
      <c r="B389">
        <v>2021</v>
      </c>
      <c r="C389" t="str">
        <f>VLOOKUP(SalaryInfo[[#This Row],[experience_level]],Experience[],2,FALSE)</f>
        <v>Junior</v>
      </c>
      <c r="D389" t="s">
        <v>30</v>
      </c>
      <c r="E389" t="str">
        <f>VLOOKUP(SalaryInfo[[#This Row],[employment_type]],EmpType[],2,FALSE)</f>
        <v>Full Time</v>
      </c>
      <c r="F389" t="s">
        <v>12</v>
      </c>
      <c r="G389" t="s">
        <v>43</v>
      </c>
      <c r="H389">
        <v>80000</v>
      </c>
      <c r="I389" t="s">
        <v>19</v>
      </c>
      <c r="J389">
        <v>80000</v>
      </c>
      <c r="K389" t="s">
        <v>29</v>
      </c>
      <c r="L389">
        <v>100</v>
      </c>
      <c r="M389" t="s">
        <v>29</v>
      </c>
      <c r="N389" t="s">
        <v>16</v>
      </c>
      <c r="O389" t="str">
        <f>VLOOKUP(SalaryInfo[[#This Row],[company_size]],CompanySize[],2,FALSE)</f>
        <v>Large</v>
      </c>
    </row>
    <row r="390" spans="1:15">
      <c r="A390">
        <v>241</v>
      </c>
      <c r="B390">
        <v>2021</v>
      </c>
      <c r="C390" t="str">
        <f>VLOOKUP(SalaryInfo[[#This Row],[experience_level]],Experience[],2,FALSE)</f>
        <v>Intermediate</v>
      </c>
      <c r="D390" t="s">
        <v>11</v>
      </c>
      <c r="E390" t="str">
        <f>VLOOKUP(SalaryInfo[[#This Row],[employment_type]],EmpType[],2,FALSE)</f>
        <v>Full Time</v>
      </c>
      <c r="F390" t="s">
        <v>12</v>
      </c>
      <c r="G390" t="s">
        <v>31</v>
      </c>
      <c r="H390">
        <v>80000</v>
      </c>
      <c r="I390" t="s">
        <v>19</v>
      </c>
      <c r="J390">
        <v>80000</v>
      </c>
      <c r="K390" t="s">
        <v>29</v>
      </c>
      <c r="L390">
        <v>100</v>
      </c>
      <c r="M390" t="s">
        <v>29</v>
      </c>
      <c r="N390" t="s">
        <v>16</v>
      </c>
      <c r="O390" t="str">
        <f>VLOOKUP(SalaryInfo[[#This Row],[company_size]],CompanySize[],2,FALSE)</f>
        <v>Large</v>
      </c>
    </row>
    <row r="391" spans="1:15">
      <c r="A391">
        <v>424</v>
      </c>
      <c r="B391">
        <v>2022</v>
      </c>
      <c r="C391" t="str">
        <f>VLOOKUP(SalaryInfo[[#This Row],[experience_level]],Experience[],2,FALSE)</f>
        <v>Senior</v>
      </c>
      <c r="D391" t="s">
        <v>17</v>
      </c>
      <c r="E391" t="str">
        <f>VLOOKUP(SalaryInfo[[#This Row],[employment_type]],EmpType[],2,FALSE)</f>
        <v>Full Time</v>
      </c>
      <c r="F391" t="s">
        <v>12</v>
      </c>
      <c r="G391" t="s">
        <v>13</v>
      </c>
      <c r="H391">
        <v>80000</v>
      </c>
      <c r="I391" t="s">
        <v>19</v>
      </c>
      <c r="J391">
        <v>80000</v>
      </c>
      <c r="K391" t="s">
        <v>29</v>
      </c>
      <c r="L391">
        <v>0</v>
      </c>
      <c r="M391" t="s">
        <v>29</v>
      </c>
      <c r="N391" t="s">
        <v>25</v>
      </c>
      <c r="O391" t="str">
        <f>VLOOKUP(SalaryInfo[[#This Row],[company_size]],CompanySize[],2,FALSE)</f>
        <v>Medium</v>
      </c>
    </row>
    <row r="392" spans="1:15">
      <c r="A392">
        <v>450</v>
      </c>
      <c r="B392">
        <v>2022</v>
      </c>
      <c r="C392" t="str">
        <f>VLOOKUP(SalaryInfo[[#This Row],[experience_level]],Experience[],2,FALSE)</f>
        <v>Senior</v>
      </c>
      <c r="D392" t="s">
        <v>17</v>
      </c>
      <c r="E392" t="str">
        <f>VLOOKUP(SalaryInfo[[#This Row],[employment_type]],EmpType[],2,FALSE)</f>
        <v>Full Time</v>
      </c>
      <c r="F392" t="s">
        <v>12</v>
      </c>
      <c r="G392" t="s">
        <v>43</v>
      </c>
      <c r="H392">
        <v>80000</v>
      </c>
      <c r="I392" t="s">
        <v>19</v>
      </c>
      <c r="J392">
        <v>80000</v>
      </c>
      <c r="K392" t="s">
        <v>29</v>
      </c>
      <c r="L392">
        <v>100</v>
      </c>
      <c r="M392" t="s">
        <v>29</v>
      </c>
      <c r="N392" t="s">
        <v>25</v>
      </c>
      <c r="O392" t="str">
        <f>VLOOKUP(SalaryInfo[[#This Row],[company_size]],CompanySize[],2,FALSE)</f>
        <v>Medium</v>
      </c>
    </row>
    <row r="393" spans="1:15">
      <c r="A393">
        <v>568</v>
      </c>
      <c r="B393">
        <v>2022</v>
      </c>
      <c r="C393" t="str">
        <f>VLOOKUP(SalaryInfo[[#This Row],[experience_level]],Experience[],2,FALSE)</f>
        <v>Senior</v>
      </c>
      <c r="D393" t="s">
        <v>17</v>
      </c>
      <c r="E393" t="str">
        <f>VLOOKUP(SalaryInfo[[#This Row],[employment_type]],EmpType[],2,FALSE)</f>
        <v>Full Time</v>
      </c>
      <c r="F393" t="s">
        <v>12</v>
      </c>
      <c r="G393" t="s">
        <v>31</v>
      </c>
      <c r="H393">
        <v>80000</v>
      </c>
      <c r="I393" t="s">
        <v>19</v>
      </c>
      <c r="J393">
        <v>80000</v>
      </c>
      <c r="K393" t="s">
        <v>29</v>
      </c>
      <c r="L393">
        <v>100</v>
      </c>
      <c r="M393" t="s">
        <v>29</v>
      </c>
      <c r="N393" t="s">
        <v>25</v>
      </c>
      <c r="O393" t="str">
        <f>VLOOKUP(SalaryInfo[[#This Row],[company_size]],CompanySize[],2,FALSE)</f>
        <v>Medium</v>
      </c>
    </row>
    <row r="394" spans="1:15">
      <c r="A394">
        <v>41</v>
      </c>
      <c r="B394">
        <v>2020</v>
      </c>
      <c r="C394" t="str">
        <f>VLOOKUP(SalaryInfo[[#This Row],[experience_level]],Experience[],2,FALSE)</f>
        <v>Director</v>
      </c>
      <c r="D394" t="s">
        <v>53</v>
      </c>
      <c r="E394" t="str">
        <f>VLOOKUP(SalaryInfo[[#This Row],[employment_type]],EmpType[],2,FALSE)</f>
        <v>Full Time</v>
      </c>
      <c r="F394" t="s">
        <v>12</v>
      </c>
      <c r="G394" t="s">
        <v>63</v>
      </c>
      <c r="H394">
        <v>70000</v>
      </c>
      <c r="I394" t="s">
        <v>14</v>
      </c>
      <c r="J394">
        <v>79833</v>
      </c>
      <c r="K394" t="s">
        <v>67</v>
      </c>
      <c r="L394">
        <v>50</v>
      </c>
      <c r="M394" t="s">
        <v>67</v>
      </c>
      <c r="N394" t="s">
        <v>16</v>
      </c>
      <c r="O394" t="str">
        <f>VLOOKUP(SalaryInfo[[#This Row],[company_size]],CompanySize[],2,FALSE)</f>
        <v>Large</v>
      </c>
    </row>
    <row r="395" spans="1:15">
      <c r="A395">
        <v>0</v>
      </c>
      <c r="B395">
        <v>2020</v>
      </c>
      <c r="C395" t="str">
        <f>VLOOKUP(SalaryInfo[[#This Row],[experience_level]],Experience[],2,FALSE)</f>
        <v>Intermediate</v>
      </c>
      <c r="D395" t="s">
        <v>11</v>
      </c>
      <c r="E395" t="str">
        <f>VLOOKUP(SalaryInfo[[#This Row],[employment_type]],EmpType[],2,FALSE)</f>
        <v>Full Time</v>
      </c>
      <c r="F395" t="s">
        <v>12</v>
      </c>
      <c r="G395" t="s">
        <v>13</v>
      </c>
      <c r="H395">
        <v>70000</v>
      </c>
      <c r="I395" t="s">
        <v>14</v>
      </c>
      <c r="J395">
        <v>79833</v>
      </c>
      <c r="K395" t="s">
        <v>15</v>
      </c>
      <c r="L395">
        <v>0</v>
      </c>
      <c r="M395" t="s">
        <v>15</v>
      </c>
      <c r="N395" t="s">
        <v>16</v>
      </c>
      <c r="O395" t="str">
        <f>VLOOKUP(SalaryInfo[[#This Row],[company_size]],CompanySize[],2,FALSE)</f>
        <v>Large</v>
      </c>
    </row>
    <row r="396" spans="1:15">
      <c r="A396">
        <v>80</v>
      </c>
      <c r="B396">
        <v>2021</v>
      </c>
      <c r="C396" t="str">
        <f>VLOOKUP(SalaryInfo[[#This Row],[experience_level]],Experience[],2,FALSE)</f>
        <v>Senior</v>
      </c>
      <c r="D396" t="s">
        <v>17</v>
      </c>
      <c r="E396" t="str">
        <f>VLOOKUP(SalaryInfo[[#This Row],[employment_type]],EmpType[],2,FALSE)</f>
        <v>Full Time</v>
      </c>
      <c r="F396" t="s">
        <v>12</v>
      </c>
      <c r="G396" t="s">
        <v>83</v>
      </c>
      <c r="H396">
        <v>67000</v>
      </c>
      <c r="I396" t="s">
        <v>14</v>
      </c>
      <c r="J396">
        <v>79197</v>
      </c>
      <c r="K396" t="s">
        <v>15</v>
      </c>
      <c r="L396">
        <v>100</v>
      </c>
      <c r="M396" t="s">
        <v>15</v>
      </c>
      <c r="N396" t="s">
        <v>16</v>
      </c>
      <c r="O396" t="str">
        <f>VLOOKUP(SalaryInfo[[#This Row],[company_size]],CompanySize[],2,FALSE)</f>
        <v>Large</v>
      </c>
    </row>
    <row r="397" spans="1:15">
      <c r="A397">
        <v>384</v>
      </c>
      <c r="B397">
        <v>2022</v>
      </c>
      <c r="C397" t="str">
        <f>VLOOKUP(SalaryInfo[[#This Row],[experience_level]],Experience[],2,FALSE)</f>
        <v>Director</v>
      </c>
      <c r="D397" t="s">
        <v>53</v>
      </c>
      <c r="E397" t="str">
        <f>VLOOKUP(SalaryInfo[[#This Row],[employment_type]],EmpType[],2,FALSE)</f>
        <v>Full Time</v>
      </c>
      <c r="F397" t="s">
        <v>12</v>
      </c>
      <c r="G397" t="s">
        <v>133</v>
      </c>
      <c r="H397">
        <v>6000000</v>
      </c>
      <c r="I397" t="s">
        <v>39</v>
      </c>
      <c r="J397">
        <v>79039</v>
      </c>
      <c r="K397" t="s">
        <v>40</v>
      </c>
      <c r="L397">
        <v>50</v>
      </c>
      <c r="M397" t="s">
        <v>40</v>
      </c>
      <c r="N397" t="s">
        <v>16</v>
      </c>
      <c r="O397" t="str">
        <f>VLOOKUP(SalaryInfo[[#This Row],[company_size]],CompanySize[],2,FALSE)</f>
        <v>Large</v>
      </c>
    </row>
    <row r="398" spans="1:15">
      <c r="A398">
        <v>451</v>
      </c>
      <c r="B398">
        <v>2022</v>
      </c>
      <c r="C398" t="str">
        <f>VLOOKUP(SalaryInfo[[#This Row],[experience_level]],Experience[],2,FALSE)</f>
        <v>Intermediate</v>
      </c>
      <c r="D398" t="s">
        <v>11</v>
      </c>
      <c r="E398" t="str">
        <f>VLOOKUP(SalaryInfo[[#This Row],[employment_type]],EmpType[],2,FALSE)</f>
        <v>Full Time</v>
      </c>
      <c r="F398" t="s">
        <v>12</v>
      </c>
      <c r="G398" t="s">
        <v>98</v>
      </c>
      <c r="H398">
        <v>100000</v>
      </c>
      <c r="I398" t="s">
        <v>61</v>
      </c>
      <c r="J398">
        <v>78791</v>
      </c>
      <c r="K398" t="s">
        <v>62</v>
      </c>
      <c r="L398">
        <v>100</v>
      </c>
      <c r="M398" t="s">
        <v>62</v>
      </c>
      <c r="N398" t="s">
        <v>25</v>
      </c>
      <c r="O398" t="str">
        <f>VLOOKUP(SalaryInfo[[#This Row],[company_size]],CompanySize[],2,FALSE)</f>
        <v>Medium</v>
      </c>
    </row>
    <row r="399" spans="1:15">
      <c r="A399">
        <v>493</v>
      </c>
      <c r="B399">
        <v>2022</v>
      </c>
      <c r="C399" t="str">
        <f>VLOOKUP(SalaryInfo[[#This Row],[experience_level]],Experience[],2,FALSE)</f>
        <v>Senior</v>
      </c>
      <c r="D399" t="s">
        <v>17</v>
      </c>
      <c r="E399" t="str">
        <f>VLOOKUP(SalaryInfo[[#This Row],[employment_type]],EmpType[],2,FALSE)</f>
        <v>Full Time</v>
      </c>
      <c r="F399" t="s">
        <v>12</v>
      </c>
      <c r="G399" t="s">
        <v>98</v>
      </c>
      <c r="H399">
        <v>100000</v>
      </c>
      <c r="I399" t="s">
        <v>61</v>
      </c>
      <c r="J399">
        <v>78791</v>
      </c>
      <c r="K399" t="s">
        <v>62</v>
      </c>
      <c r="L399">
        <v>100</v>
      </c>
      <c r="M399" t="s">
        <v>62</v>
      </c>
      <c r="N399" t="s">
        <v>25</v>
      </c>
      <c r="O399" t="str">
        <f>VLOOKUP(SalaryInfo[[#This Row],[company_size]],CompanySize[],2,FALSE)</f>
        <v>Medium</v>
      </c>
    </row>
    <row r="400" spans="1:15">
      <c r="A400">
        <v>313</v>
      </c>
      <c r="B400">
        <v>2022</v>
      </c>
      <c r="C400" t="str">
        <f>VLOOKUP(SalaryInfo[[#This Row],[experience_level]],Experience[],2,FALSE)</f>
        <v>Intermediate</v>
      </c>
      <c r="D400" t="s">
        <v>11</v>
      </c>
      <c r="E400" t="str">
        <f>VLOOKUP(SalaryInfo[[#This Row],[employment_type]],EmpType[],2,FALSE)</f>
        <v>Full Time</v>
      </c>
      <c r="F400" t="s">
        <v>12</v>
      </c>
      <c r="G400" t="s">
        <v>43</v>
      </c>
      <c r="H400">
        <v>60000</v>
      </c>
      <c r="I400" t="s">
        <v>23</v>
      </c>
      <c r="J400">
        <v>78526</v>
      </c>
      <c r="K400" t="s">
        <v>24</v>
      </c>
      <c r="L400">
        <v>0</v>
      </c>
      <c r="M400" t="s">
        <v>24</v>
      </c>
      <c r="N400" t="s">
        <v>25</v>
      </c>
      <c r="O400" t="str">
        <f>VLOOKUP(SalaryInfo[[#This Row],[company_size]],CompanySize[],2,FALSE)</f>
        <v>Medium</v>
      </c>
    </row>
    <row r="401" spans="1:15">
      <c r="A401">
        <v>414</v>
      </c>
      <c r="B401">
        <v>2022</v>
      </c>
      <c r="C401" t="str">
        <f>VLOOKUP(SalaryInfo[[#This Row],[experience_level]],Experience[],2,FALSE)</f>
        <v>Intermediate</v>
      </c>
      <c r="D401" t="s">
        <v>11</v>
      </c>
      <c r="E401" t="str">
        <f>VLOOKUP(SalaryInfo[[#This Row],[employment_type]],EmpType[],2,FALSE)</f>
        <v>Full Time</v>
      </c>
      <c r="F401" t="s">
        <v>12</v>
      </c>
      <c r="G401" t="s">
        <v>43</v>
      </c>
      <c r="H401">
        <v>60000</v>
      </c>
      <c r="I401" t="s">
        <v>23</v>
      </c>
      <c r="J401">
        <v>78526</v>
      </c>
      <c r="K401" t="s">
        <v>24</v>
      </c>
      <c r="L401">
        <v>100</v>
      </c>
      <c r="M401" t="s">
        <v>24</v>
      </c>
      <c r="N401" t="s">
        <v>25</v>
      </c>
      <c r="O401" t="str">
        <f>VLOOKUP(SalaryInfo[[#This Row],[company_size]],CompanySize[],2,FALSE)</f>
        <v>Medium</v>
      </c>
    </row>
    <row r="402" spans="1:15">
      <c r="A402">
        <v>443</v>
      </c>
      <c r="B402">
        <v>2022</v>
      </c>
      <c r="C402" t="str">
        <f>VLOOKUP(SalaryInfo[[#This Row],[experience_level]],Experience[],2,FALSE)</f>
        <v>Intermediate</v>
      </c>
      <c r="D402" t="s">
        <v>11</v>
      </c>
      <c r="E402" t="str">
        <f>VLOOKUP(SalaryInfo[[#This Row],[employment_type]],EmpType[],2,FALSE)</f>
        <v>Full Time</v>
      </c>
      <c r="F402" t="s">
        <v>12</v>
      </c>
      <c r="G402" t="s">
        <v>43</v>
      </c>
      <c r="H402">
        <v>60000</v>
      </c>
      <c r="I402" t="s">
        <v>23</v>
      </c>
      <c r="J402">
        <v>78526</v>
      </c>
      <c r="K402" t="s">
        <v>24</v>
      </c>
      <c r="L402">
        <v>100</v>
      </c>
      <c r="M402" t="s">
        <v>24</v>
      </c>
      <c r="N402" t="s">
        <v>25</v>
      </c>
      <c r="O402" t="str">
        <f>VLOOKUP(SalaryInfo[[#This Row],[company_size]],CompanySize[],2,FALSE)</f>
        <v>Medium</v>
      </c>
    </row>
    <row r="403" spans="1:15">
      <c r="A403">
        <v>354</v>
      </c>
      <c r="B403">
        <v>2022</v>
      </c>
      <c r="C403" t="str">
        <f>VLOOKUP(SalaryInfo[[#This Row],[experience_level]],Experience[],2,FALSE)</f>
        <v>Senior</v>
      </c>
      <c r="D403" t="s">
        <v>17</v>
      </c>
      <c r="E403" t="str">
        <f>VLOOKUP(SalaryInfo[[#This Row],[employment_type]],EmpType[],2,FALSE)</f>
        <v>Full Time</v>
      </c>
      <c r="F403" t="s">
        <v>12</v>
      </c>
      <c r="G403" t="s">
        <v>43</v>
      </c>
      <c r="H403">
        <v>60000</v>
      </c>
      <c r="I403" t="s">
        <v>23</v>
      </c>
      <c r="J403">
        <v>78526</v>
      </c>
      <c r="K403" t="s">
        <v>24</v>
      </c>
      <c r="L403">
        <v>0</v>
      </c>
      <c r="M403" t="s">
        <v>24</v>
      </c>
      <c r="N403" t="s">
        <v>25</v>
      </c>
      <c r="O403" t="str">
        <f>VLOOKUP(SalaryInfo[[#This Row],[company_size]],CompanySize[],2,FALSE)</f>
        <v>Medium</v>
      </c>
    </row>
    <row r="404" spans="1:15">
      <c r="A404">
        <v>526</v>
      </c>
      <c r="B404">
        <v>2022</v>
      </c>
      <c r="C404" t="str">
        <f>VLOOKUP(SalaryInfo[[#This Row],[experience_level]],Experience[],2,FALSE)</f>
        <v>Intermediate</v>
      </c>
      <c r="D404" t="s">
        <v>11</v>
      </c>
      <c r="E404" t="str">
        <f>VLOOKUP(SalaryInfo[[#This Row],[employment_type]],EmpType[],2,FALSE)</f>
        <v>Full Time</v>
      </c>
      <c r="F404" t="s">
        <v>12</v>
      </c>
      <c r="G404" t="s">
        <v>13</v>
      </c>
      <c r="H404">
        <v>78000</v>
      </c>
      <c r="I404" t="s">
        <v>19</v>
      </c>
      <c r="J404">
        <v>78000</v>
      </c>
      <c r="K404" t="s">
        <v>29</v>
      </c>
      <c r="L404">
        <v>100</v>
      </c>
      <c r="M404" t="s">
        <v>29</v>
      </c>
      <c r="N404" t="s">
        <v>25</v>
      </c>
      <c r="O404" t="str">
        <f>VLOOKUP(SalaryInfo[[#This Row],[company_size]],CompanySize[],2,FALSE)</f>
        <v>Medium</v>
      </c>
    </row>
    <row r="405" spans="1:15">
      <c r="A405">
        <v>274</v>
      </c>
      <c r="B405">
        <v>2021</v>
      </c>
      <c r="C405" t="str">
        <f>VLOOKUP(SalaryInfo[[#This Row],[experience_level]],Experience[],2,FALSE)</f>
        <v>Senior</v>
      </c>
      <c r="D405" t="s">
        <v>17</v>
      </c>
      <c r="E405" t="str">
        <f>VLOOKUP(SalaryInfo[[#This Row],[employment_type]],EmpType[],2,FALSE)</f>
        <v>Full Time</v>
      </c>
      <c r="F405" t="s">
        <v>12</v>
      </c>
      <c r="G405" t="s">
        <v>13</v>
      </c>
      <c r="H405">
        <v>65720</v>
      </c>
      <c r="I405" t="s">
        <v>14</v>
      </c>
      <c r="J405">
        <v>77684</v>
      </c>
      <c r="K405" t="s">
        <v>38</v>
      </c>
      <c r="L405">
        <v>50</v>
      </c>
      <c r="M405" t="s">
        <v>38</v>
      </c>
      <c r="N405" t="s">
        <v>25</v>
      </c>
      <c r="O405" t="str">
        <f>VLOOKUP(SalaryInfo[[#This Row],[company_size]],CompanySize[],2,FALSE)</f>
        <v>Medium</v>
      </c>
    </row>
    <row r="406" spans="1:15">
      <c r="A406">
        <v>137</v>
      </c>
      <c r="B406">
        <v>2021</v>
      </c>
      <c r="C406" t="str">
        <f>VLOOKUP(SalaryInfo[[#This Row],[experience_level]],Experience[],2,FALSE)</f>
        <v>Intermediate</v>
      </c>
      <c r="D406" t="s">
        <v>11</v>
      </c>
      <c r="E406" t="str">
        <f>VLOOKUP(SalaryInfo[[#This Row],[employment_type]],EmpType[],2,FALSE)</f>
        <v>Full Time</v>
      </c>
      <c r="F406" t="s">
        <v>12</v>
      </c>
      <c r="G406" t="s">
        <v>69</v>
      </c>
      <c r="H406">
        <v>8500000</v>
      </c>
      <c r="I406" t="s">
        <v>44</v>
      </c>
      <c r="J406">
        <v>77364</v>
      </c>
      <c r="K406" t="s">
        <v>20</v>
      </c>
      <c r="L406">
        <v>50</v>
      </c>
      <c r="M406" t="s">
        <v>20</v>
      </c>
      <c r="N406" t="s">
        <v>21</v>
      </c>
      <c r="O406" t="str">
        <f>VLOOKUP(SalaryInfo[[#This Row],[company_size]],CompanySize[],2,FALSE)</f>
        <v>Small</v>
      </c>
    </row>
    <row r="407" spans="1:15">
      <c r="A407">
        <v>46</v>
      </c>
      <c r="B407">
        <v>2020</v>
      </c>
      <c r="C407" t="str">
        <f>VLOOKUP(SalaryInfo[[#This Row],[experience_level]],Experience[],2,FALSE)</f>
        <v>Intermediate</v>
      </c>
      <c r="D407" t="s">
        <v>11</v>
      </c>
      <c r="E407" t="str">
        <f>VLOOKUP(SalaryInfo[[#This Row],[employment_type]],EmpType[],2,FALSE)</f>
        <v>Full Time</v>
      </c>
      <c r="F407" t="s">
        <v>12</v>
      </c>
      <c r="G407" t="s">
        <v>13</v>
      </c>
      <c r="H407">
        <v>60000</v>
      </c>
      <c r="I407" t="s">
        <v>23</v>
      </c>
      <c r="J407">
        <v>76958</v>
      </c>
      <c r="K407" t="s">
        <v>24</v>
      </c>
      <c r="L407">
        <v>100</v>
      </c>
      <c r="M407" t="s">
        <v>24</v>
      </c>
      <c r="N407" t="s">
        <v>21</v>
      </c>
      <c r="O407" t="str">
        <f>VLOOKUP(SalaryInfo[[#This Row],[company_size]],CompanySize[],2,FALSE)</f>
        <v>Small</v>
      </c>
    </row>
    <row r="408" spans="1:15">
      <c r="A408">
        <v>433</v>
      </c>
      <c r="B408">
        <v>2022</v>
      </c>
      <c r="C408" t="str">
        <f>VLOOKUP(SalaryInfo[[#This Row],[experience_level]],Experience[],2,FALSE)</f>
        <v>Intermediate</v>
      </c>
      <c r="D408" t="s">
        <v>11</v>
      </c>
      <c r="E408" t="str">
        <f>VLOOKUP(SalaryInfo[[#This Row],[employment_type]],EmpType[],2,FALSE)</f>
        <v>Full Time</v>
      </c>
      <c r="F408" t="s">
        <v>12</v>
      </c>
      <c r="G408" t="s">
        <v>43</v>
      </c>
      <c r="H408">
        <v>70000</v>
      </c>
      <c r="I408" t="s">
        <v>14</v>
      </c>
      <c r="J408">
        <v>76940</v>
      </c>
      <c r="K408" t="s">
        <v>67</v>
      </c>
      <c r="L408">
        <v>100</v>
      </c>
      <c r="M408" t="s">
        <v>67</v>
      </c>
      <c r="N408" t="s">
        <v>25</v>
      </c>
      <c r="O408" t="str">
        <f>VLOOKUP(SalaryInfo[[#This Row],[company_size]],CompanySize[],2,FALSE)</f>
        <v>Medium</v>
      </c>
    </row>
    <row r="409" spans="1:15">
      <c r="A409">
        <v>445</v>
      </c>
      <c r="B409">
        <v>2022</v>
      </c>
      <c r="C409" t="str">
        <f>VLOOKUP(SalaryInfo[[#This Row],[experience_level]],Experience[],2,FALSE)</f>
        <v>Intermediate</v>
      </c>
      <c r="D409" t="s">
        <v>11</v>
      </c>
      <c r="E409" t="str">
        <f>VLOOKUP(SalaryInfo[[#This Row],[employment_type]],EmpType[],2,FALSE)</f>
        <v>Full Time</v>
      </c>
      <c r="F409" t="s">
        <v>12</v>
      </c>
      <c r="G409" t="s">
        <v>43</v>
      </c>
      <c r="H409">
        <v>70000</v>
      </c>
      <c r="I409" t="s">
        <v>14</v>
      </c>
      <c r="J409">
        <v>76940</v>
      </c>
      <c r="K409" t="s">
        <v>50</v>
      </c>
      <c r="L409">
        <v>100</v>
      </c>
      <c r="M409" t="s">
        <v>50</v>
      </c>
      <c r="N409" t="s">
        <v>25</v>
      </c>
      <c r="O409" t="str">
        <f>VLOOKUP(SalaryInfo[[#This Row],[company_size]],CompanySize[],2,FALSE)</f>
        <v>Medium</v>
      </c>
    </row>
    <row r="410" spans="1:15">
      <c r="A410">
        <v>91</v>
      </c>
      <c r="B410">
        <v>2021</v>
      </c>
      <c r="C410" t="str">
        <f>VLOOKUP(SalaryInfo[[#This Row],[experience_level]],Experience[],2,FALSE)</f>
        <v>Junior</v>
      </c>
      <c r="D410" t="s">
        <v>30</v>
      </c>
      <c r="E410" t="str">
        <f>VLOOKUP(SalaryInfo[[#This Row],[employment_type]],EmpType[],2,FALSE)</f>
        <v>Full Time</v>
      </c>
      <c r="F410" t="s">
        <v>12</v>
      </c>
      <c r="G410" t="s">
        <v>46</v>
      </c>
      <c r="H410">
        <v>65000</v>
      </c>
      <c r="I410" t="s">
        <v>14</v>
      </c>
      <c r="J410">
        <v>76833</v>
      </c>
      <c r="K410" t="s">
        <v>15</v>
      </c>
      <c r="L410">
        <v>100</v>
      </c>
      <c r="M410" t="s">
        <v>15</v>
      </c>
      <c r="N410" t="s">
        <v>21</v>
      </c>
      <c r="O410" t="str">
        <f>VLOOKUP(SalaryInfo[[#This Row],[company_size]],CompanySize[],2,FALSE)</f>
        <v>Small</v>
      </c>
    </row>
    <row r="411" spans="1:15">
      <c r="A411">
        <v>188</v>
      </c>
      <c r="B411">
        <v>2021</v>
      </c>
      <c r="C411" t="str">
        <f>VLOOKUP(SalaryInfo[[#This Row],[experience_level]],Experience[],2,FALSE)</f>
        <v>Senior</v>
      </c>
      <c r="D411" t="s">
        <v>17</v>
      </c>
      <c r="E411" t="str">
        <f>VLOOKUP(SalaryInfo[[#This Row],[employment_type]],EmpType[],2,FALSE)</f>
        <v>Full Time</v>
      </c>
      <c r="F411" t="s">
        <v>12</v>
      </c>
      <c r="G411" t="s">
        <v>43</v>
      </c>
      <c r="H411">
        <v>65000</v>
      </c>
      <c r="I411" t="s">
        <v>14</v>
      </c>
      <c r="J411">
        <v>76833</v>
      </c>
      <c r="K411" t="s">
        <v>96</v>
      </c>
      <c r="L411">
        <v>50</v>
      </c>
      <c r="M411" t="s">
        <v>24</v>
      </c>
      <c r="N411" t="s">
        <v>21</v>
      </c>
      <c r="O411" t="str">
        <f>VLOOKUP(SalaryInfo[[#This Row],[company_size]],CompanySize[],2,FALSE)</f>
        <v>Small</v>
      </c>
    </row>
    <row r="412" spans="1:15">
      <c r="A412">
        <v>272</v>
      </c>
      <c r="B412">
        <v>2021</v>
      </c>
      <c r="C412" t="str">
        <f>VLOOKUP(SalaryInfo[[#This Row],[experience_level]],Experience[],2,FALSE)</f>
        <v>Junior</v>
      </c>
      <c r="D412" t="s">
        <v>30</v>
      </c>
      <c r="E412" t="str">
        <f>VLOOKUP(SalaryInfo[[#This Row],[employment_type]],EmpType[],2,FALSE)</f>
        <v>Full Time</v>
      </c>
      <c r="F412" t="s">
        <v>12</v>
      </c>
      <c r="G412" t="s">
        <v>46</v>
      </c>
      <c r="H412">
        <v>65000</v>
      </c>
      <c r="I412" t="s">
        <v>14</v>
      </c>
      <c r="J412">
        <v>76833</v>
      </c>
      <c r="K412" t="s">
        <v>15</v>
      </c>
      <c r="L412">
        <v>0</v>
      </c>
      <c r="M412" t="s">
        <v>15</v>
      </c>
      <c r="N412" t="s">
        <v>16</v>
      </c>
      <c r="O412" t="str">
        <f>VLOOKUP(SalaryInfo[[#This Row],[company_size]],CompanySize[],2,FALSE)</f>
        <v>Large</v>
      </c>
    </row>
    <row r="413" spans="1:15">
      <c r="A413">
        <v>152</v>
      </c>
      <c r="B413">
        <v>2021</v>
      </c>
      <c r="C413" t="str">
        <f>VLOOKUP(SalaryInfo[[#This Row],[experience_level]],Experience[],2,FALSE)</f>
        <v>Intermediate</v>
      </c>
      <c r="D413" t="s">
        <v>11</v>
      </c>
      <c r="E413" t="str">
        <f>VLOOKUP(SalaryInfo[[#This Row],[employment_type]],EmpType[],2,FALSE)</f>
        <v>Full Time</v>
      </c>
      <c r="F413" t="s">
        <v>12</v>
      </c>
      <c r="G413" t="s">
        <v>13</v>
      </c>
      <c r="H413">
        <v>95000</v>
      </c>
      <c r="I413" t="s">
        <v>61</v>
      </c>
      <c r="J413">
        <v>75774</v>
      </c>
      <c r="K413" t="s">
        <v>62</v>
      </c>
      <c r="L413">
        <v>100</v>
      </c>
      <c r="M413" t="s">
        <v>62</v>
      </c>
      <c r="N413" t="s">
        <v>16</v>
      </c>
      <c r="O413" t="str">
        <f>VLOOKUP(SalaryInfo[[#This Row],[company_size]],CompanySize[],2,FALSE)</f>
        <v>Large</v>
      </c>
    </row>
    <row r="414" spans="1:15">
      <c r="A414">
        <v>100</v>
      </c>
      <c r="B414">
        <v>2021</v>
      </c>
      <c r="C414" t="str">
        <f>VLOOKUP(SalaryInfo[[#This Row],[experience_level]],Experience[],2,FALSE)</f>
        <v>Intermediate</v>
      </c>
      <c r="D414" t="s">
        <v>11</v>
      </c>
      <c r="E414" t="str">
        <f>VLOOKUP(SalaryInfo[[#This Row],[employment_type]],EmpType[],2,FALSE)</f>
        <v>Full Time</v>
      </c>
      <c r="F414" t="s">
        <v>12</v>
      </c>
      <c r="G414" t="s">
        <v>31</v>
      </c>
      <c r="H414">
        <v>75000</v>
      </c>
      <c r="I414" t="s">
        <v>19</v>
      </c>
      <c r="J414">
        <v>75000</v>
      </c>
      <c r="K414" t="s">
        <v>29</v>
      </c>
      <c r="L414">
        <v>0</v>
      </c>
      <c r="M414" t="s">
        <v>29</v>
      </c>
      <c r="N414" t="s">
        <v>16</v>
      </c>
      <c r="O414" t="str">
        <f>VLOOKUP(SalaryInfo[[#This Row],[company_size]],CompanySize[],2,FALSE)</f>
        <v>Large</v>
      </c>
    </row>
    <row r="415" spans="1:15">
      <c r="A415">
        <v>491</v>
      </c>
      <c r="B415">
        <v>2022</v>
      </c>
      <c r="C415" t="str">
        <f>VLOOKUP(SalaryInfo[[#This Row],[experience_level]],Experience[],2,FALSE)</f>
        <v>Intermediate</v>
      </c>
      <c r="D415" t="s">
        <v>11</v>
      </c>
      <c r="E415" t="str">
        <f>VLOOKUP(SalaryInfo[[#This Row],[employment_type]],EmpType[],2,FALSE)</f>
        <v>Full Time</v>
      </c>
      <c r="F415" t="s">
        <v>12</v>
      </c>
      <c r="G415" t="s">
        <v>124</v>
      </c>
      <c r="H415">
        <v>75000</v>
      </c>
      <c r="I415" t="s">
        <v>19</v>
      </c>
      <c r="J415">
        <v>75000</v>
      </c>
      <c r="K415" t="s">
        <v>62</v>
      </c>
      <c r="L415">
        <v>100</v>
      </c>
      <c r="M415" t="s">
        <v>62</v>
      </c>
      <c r="N415" t="s">
        <v>21</v>
      </c>
      <c r="O415" t="str">
        <f>VLOOKUP(SalaryInfo[[#This Row],[company_size]],CompanySize[],2,FALSE)</f>
        <v>Small</v>
      </c>
    </row>
    <row r="416" spans="1:15">
      <c r="A416">
        <v>506</v>
      </c>
      <c r="B416">
        <v>2022</v>
      </c>
      <c r="C416" t="str">
        <f>VLOOKUP(SalaryInfo[[#This Row],[experience_level]],Experience[],2,FALSE)</f>
        <v>Intermediate</v>
      </c>
      <c r="D416" t="s">
        <v>11</v>
      </c>
      <c r="E416" t="str">
        <f>VLOOKUP(SalaryInfo[[#This Row],[employment_type]],EmpType[],2,FALSE)</f>
        <v>Full Time</v>
      </c>
      <c r="F416" t="s">
        <v>12</v>
      </c>
      <c r="G416" t="s">
        <v>100</v>
      </c>
      <c r="H416">
        <v>75000</v>
      </c>
      <c r="I416" t="s">
        <v>19</v>
      </c>
      <c r="J416">
        <v>75000</v>
      </c>
      <c r="K416" t="s">
        <v>143</v>
      </c>
      <c r="L416">
        <v>100</v>
      </c>
      <c r="M416" t="s">
        <v>29</v>
      </c>
      <c r="N416" t="s">
        <v>16</v>
      </c>
      <c r="O416" t="str">
        <f>VLOOKUP(SalaryInfo[[#This Row],[company_size]],CompanySize[],2,FALSE)</f>
        <v>Large</v>
      </c>
    </row>
    <row r="417" spans="1:15">
      <c r="A417">
        <v>531</v>
      </c>
      <c r="B417">
        <v>2022</v>
      </c>
      <c r="C417" t="str">
        <f>VLOOKUP(SalaryInfo[[#This Row],[experience_level]],Experience[],2,FALSE)</f>
        <v>Intermediate</v>
      </c>
      <c r="D417" t="s">
        <v>11</v>
      </c>
      <c r="E417" t="str">
        <f>VLOOKUP(SalaryInfo[[#This Row],[employment_type]],EmpType[],2,FALSE)</f>
        <v>Full Time</v>
      </c>
      <c r="F417" t="s">
        <v>12</v>
      </c>
      <c r="G417" t="s">
        <v>31</v>
      </c>
      <c r="H417">
        <v>75000</v>
      </c>
      <c r="I417" t="s">
        <v>19</v>
      </c>
      <c r="J417">
        <v>75000</v>
      </c>
      <c r="K417" t="s">
        <v>62</v>
      </c>
      <c r="L417">
        <v>0</v>
      </c>
      <c r="M417" t="s">
        <v>62</v>
      </c>
      <c r="N417" t="s">
        <v>25</v>
      </c>
      <c r="O417" t="str">
        <f>VLOOKUP(SalaryInfo[[#This Row],[company_size]],CompanySize[],2,FALSE)</f>
        <v>Medium</v>
      </c>
    </row>
    <row r="418" spans="1:15">
      <c r="A418">
        <v>35</v>
      </c>
      <c r="B418">
        <v>2020</v>
      </c>
      <c r="C418" t="str">
        <f>VLOOKUP(SalaryInfo[[#This Row],[experience_level]],Experience[],2,FALSE)</f>
        <v>Intermediate</v>
      </c>
      <c r="D418" t="s">
        <v>11</v>
      </c>
      <c r="E418" t="str">
        <f>VLOOKUP(SalaryInfo[[#This Row],[employment_type]],EmpType[],2,FALSE)</f>
        <v>Full Time</v>
      </c>
      <c r="F418" t="s">
        <v>12</v>
      </c>
      <c r="G418" t="s">
        <v>43</v>
      </c>
      <c r="H418">
        <v>65000</v>
      </c>
      <c r="I418" t="s">
        <v>14</v>
      </c>
      <c r="J418">
        <v>74130</v>
      </c>
      <c r="K418" t="s">
        <v>64</v>
      </c>
      <c r="L418">
        <v>50</v>
      </c>
      <c r="M418" t="s">
        <v>64</v>
      </c>
      <c r="N418" t="s">
        <v>16</v>
      </c>
      <c r="O418" t="str">
        <f>VLOOKUP(SalaryInfo[[#This Row],[company_size]],CompanySize[],2,FALSE)</f>
        <v>Large</v>
      </c>
    </row>
    <row r="419" spans="1:15">
      <c r="A419">
        <v>189</v>
      </c>
      <c r="B419">
        <v>2021</v>
      </c>
      <c r="C419" t="str">
        <f>VLOOKUP(SalaryInfo[[#This Row],[experience_level]],Experience[],2,FALSE)</f>
        <v>Intermediate</v>
      </c>
      <c r="D419" t="s">
        <v>11</v>
      </c>
      <c r="E419" t="str">
        <f>VLOOKUP(SalaryInfo[[#This Row],[employment_type]],EmpType[],2,FALSE)</f>
        <v>Full Time</v>
      </c>
      <c r="F419" t="s">
        <v>12</v>
      </c>
      <c r="G419" t="s">
        <v>28</v>
      </c>
      <c r="H419">
        <v>74000</v>
      </c>
      <c r="I419" t="s">
        <v>19</v>
      </c>
      <c r="J419">
        <v>74000</v>
      </c>
      <c r="K419" t="s">
        <v>20</v>
      </c>
      <c r="L419">
        <v>50</v>
      </c>
      <c r="M419" t="s">
        <v>20</v>
      </c>
      <c r="N419" t="s">
        <v>21</v>
      </c>
      <c r="O419" t="str">
        <f>VLOOKUP(SalaryInfo[[#This Row],[company_size]],CompanySize[],2,FALSE)</f>
        <v>Small</v>
      </c>
    </row>
    <row r="420" spans="1:15">
      <c r="A420">
        <v>104</v>
      </c>
      <c r="B420">
        <v>2021</v>
      </c>
      <c r="C420" t="str">
        <f>VLOOKUP(SalaryInfo[[#This Row],[experience_level]],Experience[],2,FALSE)</f>
        <v>Intermediate</v>
      </c>
      <c r="D420" t="s">
        <v>11</v>
      </c>
      <c r="E420" t="str">
        <f>VLOOKUP(SalaryInfo[[#This Row],[employment_type]],EmpType[],2,FALSE)</f>
        <v>Full Time</v>
      </c>
      <c r="F420" t="s">
        <v>12</v>
      </c>
      <c r="G420" t="s">
        <v>13</v>
      </c>
      <c r="H420">
        <v>73000</v>
      </c>
      <c r="I420" t="s">
        <v>19</v>
      </c>
      <c r="J420">
        <v>73000</v>
      </c>
      <c r="K420" t="s">
        <v>29</v>
      </c>
      <c r="L420">
        <v>0</v>
      </c>
      <c r="M420" t="s">
        <v>29</v>
      </c>
      <c r="N420" t="s">
        <v>16</v>
      </c>
      <c r="O420" t="str">
        <f>VLOOKUP(SalaryInfo[[#This Row],[company_size]],CompanySize[],2,FALSE)</f>
        <v>Large</v>
      </c>
    </row>
    <row r="421" spans="1:15">
      <c r="A421">
        <v>270</v>
      </c>
      <c r="B421">
        <v>2021</v>
      </c>
      <c r="C421" t="str">
        <f>VLOOKUP(SalaryInfo[[#This Row],[experience_level]],Experience[],2,FALSE)</f>
        <v>Junior</v>
      </c>
      <c r="D421" t="s">
        <v>30</v>
      </c>
      <c r="E421" t="str">
        <f>VLOOKUP(SalaryInfo[[#This Row],[employment_type]],EmpType[],2,FALSE)</f>
        <v>Full Time</v>
      </c>
      <c r="F421" t="s">
        <v>12</v>
      </c>
      <c r="G421" t="s">
        <v>43</v>
      </c>
      <c r="H421">
        <v>72500</v>
      </c>
      <c r="I421" t="s">
        <v>19</v>
      </c>
      <c r="J421">
        <v>72500</v>
      </c>
      <c r="K421" t="s">
        <v>29</v>
      </c>
      <c r="L421">
        <v>100</v>
      </c>
      <c r="M421" t="s">
        <v>29</v>
      </c>
      <c r="N421" t="s">
        <v>16</v>
      </c>
      <c r="O421" t="str">
        <f>VLOOKUP(SalaryInfo[[#This Row],[company_size]],CompanySize[],2,FALSE)</f>
        <v>Large</v>
      </c>
    </row>
    <row r="422" spans="1:15">
      <c r="A422">
        <v>245</v>
      </c>
      <c r="B422">
        <v>2021</v>
      </c>
      <c r="C422" t="str">
        <f>VLOOKUP(SalaryInfo[[#This Row],[experience_level]],Experience[],2,FALSE)</f>
        <v>Intermediate</v>
      </c>
      <c r="D422" t="s">
        <v>11</v>
      </c>
      <c r="E422" t="str">
        <f>VLOOKUP(SalaryInfo[[#This Row],[employment_type]],EmpType[],2,FALSE)</f>
        <v>Full Time</v>
      </c>
      <c r="F422" t="s">
        <v>12</v>
      </c>
      <c r="G422" t="s">
        <v>43</v>
      </c>
      <c r="H422">
        <v>52500</v>
      </c>
      <c r="I422" t="s">
        <v>23</v>
      </c>
      <c r="J422">
        <v>72212</v>
      </c>
      <c r="K422" t="s">
        <v>24</v>
      </c>
      <c r="L422">
        <v>50</v>
      </c>
      <c r="M422" t="s">
        <v>24</v>
      </c>
      <c r="N422" t="s">
        <v>16</v>
      </c>
      <c r="O422" t="str">
        <f>VLOOKUP(SalaryInfo[[#This Row],[company_size]],CompanySize[],2,FALSE)</f>
        <v>Large</v>
      </c>
    </row>
    <row r="423" spans="1:15">
      <c r="A423">
        <v>5</v>
      </c>
      <c r="B423">
        <v>2020</v>
      </c>
      <c r="C423" t="str">
        <f>VLOOKUP(SalaryInfo[[#This Row],[experience_level]],Experience[],2,FALSE)</f>
        <v>Junior</v>
      </c>
      <c r="D423" t="s">
        <v>30</v>
      </c>
      <c r="E423" t="str">
        <f>VLOOKUP(SalaryInfo[[#This Row],[employment_type]],EmpType[],2,FALSE)</f>
        <v>Full Time</v>
      </c>
      <c r="F423" t="s">
        <v>12</v>
      </c>
      <c r="G423" t="s">
        <v>31</v>
      </c>
      <c r="H423">
        <v>72000</v>
      </c>
      <c r="I423" t="s">
        <v>19</v>
      </c>
      <c r="J423">
        <v>72000</v>
      </c>
      <c r="K423" t="s">
        <v>29</v>
      </c>
      <c r="L423">
        <v>100</v>
      </c>
      <c r="M423" t="s">
        <v>29</v>
      </c>
      <c r="N423" t="s">
        <v>16</v>
      </c>
      <c r="O423" t="str">
        <f>VLOOKUP(SalaryInfo[[#This Row],[company_size]],CompanySize[],2,FALSE)</f>
        <v>Large</v>
      </c>
    </row>
    <row r="424" spans="1:15">
      <c r="A424">
        <v>410</v>
      </c>
      <c r="B424">
        <v>2022</v>
      </c>
      <c r="C424" t="str">
        <f>VLOOKUP(SalaryInfo[[#This Row],[experience_level]],Experience[],2,FALSE)</f>
        <v>Intermediate</v>
      </c>
      <c r="D424" t="s">
        <v>11</v>
      </c>
      <c r="E424" t="str">
        <f>VLOOKUP(SalaryInfo[[#This Row],[employment_type]],EmpType[],2,FALSE)</f>
        <v>Full Time</v>
      </c>
      <c r="F424" t="s">
        <v>12</v>
      </c>
      <c r="G424" t="s">
        <v>13</v>
      </c>
      <c r="H424">
        <v>55000</v>
      </c>
      <c r="I424" t="s">
        <v>23</v>
      </c>
      <c r="J424">
        <v>71982</v>
      </c>
      <c r="K424" t="s">
        <v>24</v>
      </c>
      <c r="L424">
        <v>0</v>
      </c>
      <c r="M424" t="s">
        <v>24</v>
      </c>
      <c r="N424" t="s">
        <v>25</v>
      </c>
      <c r="O424" t="str">
        <f>VLOOKUP(SalaryInfo[[#This Row],[company_size]],CompanySize[],2,FALSE)</f>
        <v>Medium</v>
      </c>
    </row>
    <row r="425" spans="1:15">
      <c r="A425">
        <v>229</v>
      </c>
      <c r="B425">
        <v>2021</v>
      </c>
      <c r="C425" t="str">
        <f>VLOOKUP(SalaryInfo[[#This Row],[experience_level]],Experience[],2,FALSE)</f>
        <v>Senior</v>
      </c>
      <c r="D425" t="s">
        <v>17</v>
      </c>
      <c r="E425" t="str">
        <f>VLOOKUP(SalaryInfo[[#This Row],[employment_type]],EmpType[],2,FALSE)</f>
        <v>Full Time</v>
      </c>
      <c r="F425" t="s">
        <v>12</v>
      </c>
      <c r="G425" t="s">
        <v>31</v>
      </c>
      <c r="H425">
        <v>90000</v>
      </c>
      <c r="I425" t="s">
        <v>61</v>
      </c>
      <c r="J425">
        <v>71786</v>
      </c>
      <c r="K425" t="s">
        <v>62</v>
      </c>
      <c r="L425">
        <v>100</v>
      </c>
      <c r="M425" t="s">
        <v>62</v>
      </c>
      <c r="N425" t="s">
        <v>25</v>
      </c>
      <c r="O425" t="str">
        <f>VLOOKUP(SalaryInfo[[#This Row],[company_size]],CompanySize[],2,FALSE)</f>
        <v>Medium</v>
      </c>
    </row>
    <row r="426" spans="1:15">
      <c r="A426">
        <v>513</v>
      </c>
      <c r="B426">
        <v>2022</v>
      </c>
      <c r="C426" t="str">
        <f>VLOOKUP(SalaryInfo[[#This Row],[experience_level]],Experience[],2,FALSE)</f>
        <v>Senior</v>
      </c>
      <c r="D426" t="s">
        <v>17</v>
      </c>
      <c r="E426" t="str">
        <f>VLOOKUP(SalaryInfo[[#This Row],[employment_type]],EmpType[],2,FALSE)</f>
        <v>Full Time</v>
      </c>
      <c r="F426" t="s">
        <v>12</v>
      </c>
      <c r="G426" t="s">
        <v>28</v>
      </c>
      <c r="H426">
        <v>65000</v>
      </c>
      <c r="I426" t="s">
        <v>14</v>
      </c>
      <c r="J426">
        <v>71444</v>
      </c>
      <c r="K426" t="s">
        <v>144</v>
      </c>
      <c r="L426">
        <v>100</v>
      </c>
      <c r="M426" t="s">
        <v>144</v>
      </c>
      <c r="N426" t="s">
        <v>21</v>
      </c>
      <c r="O426" t="str">
        <f>VLOOKUP(SalaryInfo[[#This Row],[company_size]],CompanySize[],2,FALSE)</f>
        <v>Small</v>
      </c>
    </row>
    <row r="427" spans="1:15">
      <c r="A427">
        <v>511</v>
      </c>
      <c r="B427">
        <v>2022</v>
      </c>
      <c r="C427" t="str">
        <f>VLOOKUP(SalaryInfo[[#This Row],[experience_level]],Experience[],2,FALSE)</f>
        <v>Intermediate</v>
      </c>
      <c r="D427" t="s">
        <v>11</v>
      </c>
      <c r="E427" t="str">
        <f>VLOOKUP(SalaryInfo[[#This Row],[employment_type]],EmpType[],2,FALSE)</f>
        <v>Full Time</v>
      </c>
      <c r="F427" t="s">
        <v>12</v>
      </c>
      <c r="G427" t="s">
        <v>35</v>
      </c>
      <c r="H427">
        <v>90000</v>
      </c>
      <c r="I427" t="s">
        <v>61</v>
      </c>
      <c r="J427">
        <v>70912</v>
      </c>
      <c r="K427" t="s">
        <v>62</v>
      </c>
      <c r="L427">
        <v>50</v>
      </c>
      <c r="M427" t="s">
        <v>62</v>
      </c>
      <c r="N427" t="s">
        <v>16</v>
      </c>
      <c r="O427" t="str">
        <f>VLOOKUP(SalaryInfo[[#This Row],[company_size]],CompanySize[],2,FALSE)</f>
        <v>Large</v>
      </c>
    </row>
    <row r="428" spans="1:15">
      <c r="A428">
        <v>557</v>
      </c>
      <c r="B428">
        <v>2022</v>
      </c>
      <c r="C428" t="str">
        <f>VLOOKUP(SalaryInfo[[#This Row],[experience_level]],Experience[],2,FALSE)</f>
        <v>Senior</v>
      </c>
      <c r="D428" t="s">
        <v>17</v>
      </c>
      <c r="E428" t="str">
        <f>VLOOKUP(SalaryInfo[[#This Row],[employment_type]],EmpType[],2,FALSE)</f>
        <v>Full Time</v>
      </c>
      <c r="F428" t="s">
        <v>12</v>
      </c>
      <c r="G428" t="s">
        <v>43</v>
      </c>
      <c r="H428">
        <v>70500</v>
      </c>
      <c r="I428" t="s">
        <v>19</v>
      </c>
      <c r="J428">
        <v>70500</v>
      </c>
      <c r="K428" t="s">
        <v>29</v>
      </c>
      <c r="L428">
        <v>0</v>
      </c>
      <c r="M428" t="s">
        <v>29</v>
      </c>
      <c r="N428" t="s">
        <v>25</v>
      </c>
      <c r="O428" t="str">
        <f>VLOOKUP(SalaryInfo[[#This Row],[company_size]],CompanySize[],2,FALSE)</f>
        <v>Medium</v>
      </c>
    </row>
    <row r="429" spans="1:15">
      <c r="A429">
        <v>49</v>
      </c>
      <c r="B429">
        <v>2020</v>
      </c>
      <c r="C429" t="str">
        <f>VLOOKUP(SalaryInfo[[#This Row],[experience_level]],Experience[],2,FALSE)</f>
        <v>Intermediate</v>
      </c>
      <c r="D429" t="s">
        <v>11</v>
      </c>
      <c r="E429" t="str">
        <f>VLOOKUP(SalaryInfo[[#This Row],[employment_type]],EmpType[],2,FALSE)</f>
        <v>Full Time</v>
      </c>
      <c r="F429" t="s">
        <v>12</v>
      </c>
      <c r="G429" t="s">
        <v>43</v>
      </c>
      <c r="H429">
        <v>61500</v>
      </c>
      <c r="I429" t="s">
        <v>14</v>
      </c>
      <c r="J429">
        <v>70139</v>
      </c>
      <c r="K429" t="s">
        <v>38</v>
      </c>
      <c r="L429">
        <v>50</v>
      </c>
      <c r="M429" t="s">
        <v>38</v>
      </c>
      <c r="N429" t="s">
        <v>16</v>
      </c>
      <c r="O429" t="str">
        <f>VLOOKUP(SalaryInfo[[#This Row],[company_size]],CompanySize[],2,FALSE)</f>
        <v>Large</v>
      </c>
    </row>
    <row r="430" spans="1:15">
      <c r="A430">
        <v>31</v>
      </c>
      <c r="B430">
        <v>2020</v>
      </c>
      <c r="C430" t="str">
        <f>VLOOKUP(SalaryInfo[[#This Row],[experience_level]],Experience[],2,FALSE)</f>
        <v>Junior</v>
      </c>
      <c r="D430" t="s">
        <v>30</v>
      </c>
      <c r="E430" t="str">
        <f>VLOOKUP(SalaryInfo[[#This Row],[employment_type]],EmpType[],2,FALSE)</f>
        <v>Full Time</v>
      </c>
      <c r="F430" t="s">
        <v>12</v>
      </c>
      <c r="G430" t="s">
        <v>22</v>
      </c>
      <c r="H430">
        <v>70000</v>
      </c>
      <c r="I430" t="s">
        <v>19</v>
      </c>
      <c r="J430">
        <v>70000</v>
      </c>
      <c r="K430" t="s">
        <v>29</v>
      </c>
      <c r="L430">
        <v>100</v>
      </c>
      <c r="M430" t="s">
        <v>29</v>
      </c>
      <c r="N430" t="s">
        <v>16</v>
      </c>
      <c r="O430" t="str">
        <f>VLOOKUP(SalaryInfo[[#This Row],[company_size]],CompanySize[],2,FALSE)</f>
        <v>Large</v>
      </c>
    </row>
    <row r="431" spans="1:15">
      <c r="A431">
        <v>98</v>
      </c>
      <c r="B431">
        <v>2021</v>
      </c>
      <c r="C431" t="str">
        <f>VLOOKUP(SalaryInfo[[#This Row],[experience_level]],Experience[],2,FALSE)</f>
        <v>Junior</v>
      </c>
      <c r="D431" t="s">
        <v>30</v>
      </c>
      <c r="E431" t="str">
        <f>VLOOKUP(SalaryInfo[[#This Row],[employment_type]],EmpType[],2,FALSE)</f>
        <v>Full Time</v>
      </c>
      <c r="F431" t="s">
        <v>12</v>
      </c>
      <c r="G431" t="s">
        <v>93</v>
      </c>
      <c r="H431">
        <v>70000</v>
      </c>
      <c r="I431" t="s">
        <v>19</v>
      </c>
      <c r="J431">
        <v>70000</v>
      </c>
      <c r="K431" t="s">
        <v>29</v>
      </c>
      <c r="L431">
        <v>100</v>
      </c>
      <c r="M431" t="s">
        <v>29</v>
      </c>
      <c r="N431" t="s">
        <v>25</v>
      </c>
      <c r="O431" t="str">
        <f>VLOOKUP(SalaryInfo[[#This Row],[company_size]],CompanySize[],2,FALSE)</f>
        <v>Medium</v>
      </c>
    </row>
    <row r="432" spans="1:15">
      <c r="A432">
        <v>284</v>
      </c>
      <c r="B432">
        <v>2021</v>
      </c>
      <c r="C432" t="str">
        <f>VLOOKUP(SalaryInfo[[#This Row],[experience_level]],Experience[],2,FALSE)</f>
        <v>Intermediate</v>
      </c>
      <c r="D432" t="s">
        <v>11</v>
      </c>
      <c r="E432" t="str">
        <f>VLOOKUP(SalaryInfo[[#This Row],[employment_type]],EmpType[],2,FALSE)</f>
        <v>Full Time</v>
      </c>
      <c r="F432" t="s">
        <v>12</v>
      </c>
      <c r="G432" t="s">
        <v>55</v>
      </c>
      <c r="H432">
        <v>69999</v>
      </c>
      <c r="I432" t="s">
        <v>19</v>
      </c>
      <c r="J432">
        <v>69999</v>
      </c>
      <c r="K432" t="s">
        <v>130</v>
      </c>
      <c r="L432">
        <v>50</v>
      </c>
      <c r="M432" t="s">
        <v>130</v>
      </c>
      <c r="N432" t="s">
        <v>16</v>
      </c>
      <c r="O432" t="str">
        <f>VLOOKUP(SalaryInfo[[#This Row],[company_size]],CompanySize[],2,FALSE)</f>
        <v>Large</v>
      </c>
    </row>
    <row r="433" spans="1:15">
      <c r="A433">
        <v>187</v>
      </c>
      <c r="B433">
        <v>2021</v>
      </c>
      <c r="C433" t="str">
        <f>VLOOKUP(SalaryInfo[[#This Row],[experience_level]],Experience[],2,FALSE)</f>
        <v>Director</v>
      </c>
      <c r="D433" t="s">
        <v>53</v>
      </c>
      <c r="E433" t="str">
        <f>VLOOKUP(SalaryInfo[[#This Row],[employment_type]],EmpType[],2,FALSE)</f>
        <v>Full Time</v>
      </c>
      <c r="F433" t="s">
        <v>12</v>
      </c>
      <c r="G433" t="s">
        <v>46</v>
      </c>
      <c r="H433">
        <v>59000</v>
      </c>
      <c r="I433" t="s">
        <v>14</v>
      </c>
      <c r="J433">
        <v>69741</v>
      </c>
      <c r="K433" t="s">
        <v>38</v>
      </c>
      <c r="L433">
        <v>100</v>
      </c>
      <c r="M433" t="s">
        <v>67</v>
      </c>
      <c r="N433" t="s">
        <v>21</v>
      </c>
      <c r="O433" t="str">
        <f>VLOOKUP(SalaryInfo[[#This Row],[company_size]],CompanySize[],2,FALSE)</f>
        <v>Small</v>
      </c>
    </row>
    <row r="434" spans="1:15">
      <c r="A434">
        <v>282</v>
      </c>
      <c r="B434">
        <v>2021</v>
      </c>
      <c r="C434" t="str">
        <f>VLOOKUP(SalaryInfo[[#This Row],[experience_level]],Experience[],2,FALSE)</f>
        <v>Intermediate</v>
      </c>
      <c r="D434" t="s">
        <v>11</v>
      </c>
      <c r="E434" t="str">
        <f>VLOOKUP(SalaryInfo[[#This Row],[employment_type]],EmpType[],2,FALSE)</f>
        <v>Part Time</v>
      </c>
      <c r="F434" t="s">
        <v>47</v>
      </c>
      <c r="G434" t="s">
        <v>43</v>
      </c>
      <c r="H434">
        <v>59000</v>
      </c>
      <c r="I434" t="s">
        <v>14</v>
      </c>
      <c r="J434">
        <v>69741</v>
      </c>
      <c r="K434" t="s">
        <v>56</v>
      </c>
      <c r="L434">
        <v>100</v>
      </c>
      <c r="M434" t="s">
        <v>56</v>
      </c>
      <c r="N434" t="s">
        <v>16</v>
      </c>
      <c r="O434" t="str">
        <f>VLOOKUP(SalaryInfo[[#This Row],[company_size]],CompanySize[],2,FALSE)</f>
        <v>Large</v>
      </c>
    </row>
    <row r="435" spans="1:15">
      <c r="A435">
        <v>520</v>
      </c>
      <c r="B435">
        <v>2022</v>
      </c>
      <c r="C435" t="str">
        <f>VLOOKUP(SalaryInfo[[#This Row],[experience_level]],Experience[],2,FALSE)</f>
        <v>Intermediate</v>
      </c>
      <c r="D435" t="s">
        <v>11</v>
      </c>
      <c r="E435" t="str">
        <f>VLOOKUP(SalaryInfo[[#This Row],[employment_type]],EmpType[],2,FALSE)</f>
        <v>Full Time</v>
      </c>
      <c r="F435" t="s">
        <v>12</v>
      </c>
      <c r="G435" t="s">
        <v>13</v>
      </c>
      <c r="H435">
        <v>88000</v>
      </c>
      <c r="I435" t="s">
        <v>61</v>
      </c>
      <c r="J435">
        <v>69336</v>
      </c>
      <c r="K435" t="s">
        <v>62</v>
      </c>
      <c r="L435">
        <v>100</v>
      </c>
      <c r="M435" t="s">
        <v>62</v>
      </c>
      <c r="N435" t="s">
        <v>25</v>
      </c>
      <c r="O435" t="str">
        <f>VLOOKUP(SalaryInfo[[#This Row],[company_size]],CompanySize[],2,FALSE)</f>
        <v>Medium</v>
      </c>
    </row>
    <row r="436" spans="1:15">
      <c r="A436">
        <v>573</v>
      </c>
      <c r="B436">
        <v>2022</v>
      </c>
      <c r="C436" t="str">
        <f>VLOOKUP(SalaryInfo[[#This Row],[experience_level]],Experience[],2,FALSE)</f>
        <v>Senior</v>
      </c>
      <c r="D436" t="s">
        <v>17</v>
      </c>
      <c r="E436" t="str">
        <f>VLOOKUP(SalaryInfo[[#This Row],[employment_type]],EmpType[],2,FALSE)</f>
        <v>Full Time</v>
      </c>
      <c r="F436" t="s">
        <v>12</v>
      </c>
      <c r="G436" t="s">
        <v>31</v>
      </c>
      <c r="H436">
        <v>69000</v>
      </c>
      <c r="I436" t="s">
        <v>19</v>
      </c>
      <c r="J436">
        <v>69000</v>
      </c>
      <c r="K436" t="s">
        <v>29</v>
      </c>
      <c r="L436">
        <v>100</v>
      </c>
      <c r="M436" t="s">
        <v>29</v>
      </c>
      <c r="N436" t="s">
        <v>25</v>
      </c>
      <c r="O436" t="str">
        <f>VLOOKUP(SalaryInfo[[#This Row],[company_size]],CompanySize[],2,FALSE)</f>
        <v>Medium</v>
      </c>
    </row>
    <row r="437" spans="1:15">
      <c r="A437">
        <v>32</v>
      </c>
      <c r="B437">
        <v>2020</v>
      </c>
      <c r="C437" t="str">
        <f>VLOOKUP(SalaryInfo[[#This Row],[experience_level]],Experience[],2,FALSE)</f>
        <v>Senior</v>
      </c>
      <c r="D437" t="s">
        <v>17</v>
      </c>
      <c r="E437" t="str">
        <f>VLOOKUP(SalaryInfo[[#This Row],[employment_type]],EmpType[],2,FALSE)</f>
        <v>Full Time</v>
      </c>
      <c r="F437" t="s">
        <v>12</v>
      </c>
      <c r="G437" t="s">
        <v>13</v>
      </c>
      <c r="H437">
        <v>60000</v>
      </c>
      <c r="I437" t="s">
        <v>14</v>
      </c>
      <c r="J437">
        <v>68428</v>
      </c>
      <c r="K437" t="s">
        <v>50</v>
      </c>
      <c r="L437">
        <v>100</v>
      </c>
      <c r="M437" t="s">
        <v>29</v>
      </c>
      <c r="N437" t="s">
        <v>16</v>
      </c>
      <c r="O437" t="str">
        <f>VLOOKUP(SalaryInfo[[#This Row],[company_size]],CompanySize[],2,FALSE)</f>
        <v>Large</v>
      </c>
    </row>
    <row r="438" spans="1:15">
      <c r="A438">
        <v>517</v>
      </c>
      <c r="B438">
        <v>2022</v>
      </c>
      <c r="C438" t="str">
        <f>VLOOKUP(SalaryInfo[[#This Row],[experience_level]],Experience[],2,FALSE)</f>
        <v>Intermediate</v>
      </c>
      <c r="D438" t="s">
        <v>11</v>
      </c>
      <c r="E438" t="str">
        <f>VLOOKUP(SalaryInfo[[#This Row],[employment_type]],EmpType[],2,FALSE)</f>
        <v>Full Time</v>
      </c>
      <c r="F438" t="s">
        <v>12</v>
      </c>
      <c r="G438" t="s">
        <v>43</v>
      </c>
      <c r="H438">
        <v>62000</v>
      </c>
      <c r="I438" t="s">
        <v>14</v>
      </c>
      <c r="J438">
        <v>68147</v>
      </c>
      <c r="K438" t="s">
        <v>38</v>
      </c>
      <c r="L438">
        <v>100</v>
      </c>
      <c r="M438" t="s">
        <v>38</v>
      </c>
      <c r="N438" t="s">
        <v>25</v>
      </c>
      <c r="O438" t="str">
        <f>VLOOKUP(SalaryInfo[[#This Row],[company_size]],CompanySize[],2,FALSE)</f>
        <v>Medium</v>
      </c>
    </row>
    <row r="439" spans="1:15">
      <c r="A439">
        <v>600</v>
      </c>
      <c r="B439">
        <v>2022</v>
      </c>
      <c r="C439" t="str">
        <f>VLOOKUP(SalaryInfo[[#This Row],[experience_level]],Experience[],2,FALSE)</f>
        <v>Junior</v>
      </c>
      <c r="D439" t="s">
        <v>30</v>
      </c>
      <c r="E439" t="str">
        <f>VLOOKUP(SalaryInfo[[#This Row],[employment_type]],EmpType[],2,FALSE)</f>
        <v>Full Time</v>
      </c>
      <c r="F439" t="s">
        <v>12</v>
      </c>
      <c r="G439" t="s">
        <v>31</v>
      </c>
      <c r="H439">
        <v>67000</v>
      </c>
      <c r="I439" t="s">
        <v>19</v>
      </c>
      <c r="J439">
        <v>67000</v>
      </c>
      <c r="K439" t="s">
        <v>62</v>
      </c>
      <c r="L439">
        <v>0</v>
      </c>
      <c r="M439" t="s">
        <v>62</v>
      </c>
      <c r="N439" t="s">
        <v>25</v>
      </c>
      <c r="O439" t="str">
        <f>VLOOKUP(SalaryInfo[[#This Row],[company_size]],CompanySize[],2,FALSE)</f>
        <v>Medium</v>
      </c>
    </row>
    <row r="440" spans="1:15">
      <c r="A440">
        <v>263</v>
      </c>
      <c r="B440">
        <v>2021</v>
      </c>
      <c r="C440" t="str">
        <f>VLOOKUP(SalaryInfo[[#This Row],[experience_level]],Experience[],2,FALSE)</f>
        <v>Senior</v>
      </c>
      <c r="D440" t="s">
        <v>17</v>
      </c>
      <c r="E440" t="str">
        <f>VLOOKUP(SalaryInfo[[#This Row],[employment_type]],EmpType[],2,FALSE)</f>
        <v>Full Time</v>
      </c>
      <c r="F440" t="s">
        <v>12</v>
      </c>
      <c r="G440" t="s">
        <v>28</v>
      </c>
      <c r="H440">
        <v>4900000</v>
      </c>
      <c r="I440" t="s">
        <v>39</v>
      </c>
      <c r="J440">
        <v>66265</v>
      </c>
      <c r="K440" t="s">
        <v>40</v>
      </c>
      <c r="L440">
        <v>0</v>
      </c>
      <c r="M440" t="s">
        <v>40</v>
      </c>
      <c r="N440" t="s">
        <v>16</v>
      </c>
      <c r="O440" t="str">
        <f>VLOOKUP(SalaryInfo[[#This Row],[company_size]],CompanySize[],2,FALSE)</f>
        <v>Large</v>
      </c>
    </row>
    <row r="441" spans="1:15">
      <c r="A441">
        <v>212</v>
      </c>
      <c r="B441">
        <v>2021</v>
      </c>
      <c r="C441" t="str">
        <f>VLOOKUP(SalaryInfo[[#This Row],[experience_level]],Experience[],2,FALSE)</f>
        <v>Intermediate</v>
      </c>
      <c r="D441" t="s">
        <v>11</v>
      </c>
      <c r="E441" t="str">
        <f>VLOOKUP(SalaryInfo[[#This Row],[employment_type]],EmpType[],2,FALSE)</f>
        <v>Full Time</v>
      </c>
      <c r="F441" t="s">
        <v>12</v>
      </c>
      <c r="G441" t="s">
        <v>43</v>
      </c>
      <c r="H441">
        <v>48000</v>
      </c>
      <c r="I441" t="s">
        <v>23</v>
      </c>
      <c r="J441">
        <v>66022</v>
      </c>
      <c r="K441" t="s">
        <v>119</v>
      </c>
      <c r="L441">
        <v>50</v>
      </c>
      <c r="M441" t="s">
        <v>24</v>
      </c>
      <c r="N441" t="s">
        <v>21</v>
      </c>
      <c r="O441" t="str">
        <f>VLOOKUP(SalaryInfo[[#This Row],[company_size]],CompanySize[],2,FALSE)</f>
        <v>Small</v>
      </c>
    </row>
    <row r="442" spans="1:15">
      <c r="A442">
        <v>412</v>
      </c>
      <c r="B442">
        <v>2022</v>
      </c>
      <c r="C442" t="str">
        <f>VLOOKUP(SalaryInfo[[#This Row],[experience_level]],Experience[],2,FALSE)</f>
        <v>Intermediate</v>
      </c>
      <c r="D442" t="s">
        <v>11</v>
      </c>
      <c r="E442" t="str">
        <f>VLOOKUP(SalaryInfo[[#This Row],[employment_type]],EmpType[],2,FALSE)</f>
        <v>Full Time</v>
      </c>
      <c r="F442" t="s">
        <v>12</v>
      </c>
      <c r="G442" t="s">
        <v>43</v>
      </c>
      <c r="H442">
        <v>60000</v>
      </c>
      <c r="I442" t="s">
        <v>14</v>
      </c>
      <c r="J442">
        <v>65949</v>
      </c>
      <c r="K442" t="s">
        <v>50</v>
      </c>
      <c r="L442">
        <v>100</v>
      </c>
      <c r="M442" t="s">
        <v>50</v>
      </c>
      <c r="N442" t="s">
        <v>25</v>
      </c>
      <c r="O442" t="str">
        <f>VLOOKUP(SalaryInfo[[#This Row],[company_size]],CompanySize[],2,FALSE)</f>
        <v>Medium</v>
      </c>
    </row>
    <row r="443" spans="1:15">
      <c r="A443">
        <v>436</v>
      </c>
      <c r="B443">
        <v>2022</v>
      </c>
      <c r="C443" t="str">
        <f>VLOOKUP(SalaryInfo[[#This Row],[experience_level]],Experience[],2,FALSE)</f>
        <v>Intermediate</v>
      </c>
      <c r="D443" t="s">
        <v>11</v>
      </c>
      <c r="E443" t="str">
        <f>VLOOKUP(SalaryInfo[[#This Row],[employment_type]],EmpType[],2,FALSE)</f>
        <v>Full Time</v>
      </c>
      <c r="F443" t="s">
        <v>12</v>
      </c>
      <c r="G443" t="s">
        <v>43</v>
      </c>
      <c r="H443">
        <v>60000</v>
      </c>
      <c r="I443" t="s">
        <v>14</v>
      </c>
      <c r="J443">
        <v>65949</v>
      </c>
      <c r="K443" t="s">
        <v>67</v>
      </c>
      <c r="L443">
        <v>100</v>
      </c>
      <c r="M443" t="s">
        <v>67</v>
      </c>
      <c r="N443" t="s">
        <v>25</v>
      </c>
      <c r="O443" t="str">
        <f>VLOOKUP(SalaryInfo[[#This Row],[company_size]],CompanySize[],2,FALSE)</f>
        <v>Medium</v>
      </c>
    </row>
    <row r="444" spans="1:15">
      <c r="A444">
        <v>311</v>
      </c>
      <c r="B444">
        <v>2022</v>
      </c>
      <c r="C444" t="str">
        <f>VLOOKUP(SalaryInfo[[#This Row],[experience_level]],Experience[],2,FALSE)</f>
        <v>Intermediate</v>
      </c>
      <c r="D444" t="s">
        <v>11</v>
      </c>
      <c r="E444" t="str">
        <f>VLOOKUP(SalaryInfo[[#This Row],[employment_type]],EmpType[],2,FALSE)</f>
        <v>Full Time</v>
      </c>
      <c r="F444" t="s">
        <v>12</v>
      </c>
      <c r="G444" t="s">
        <v>13</v>
      </c>
      <c r="H444">
        <v>50000</v>
      </c>
      <c r="I444" t="s">
        <v>23</v>
      </c>
      <c r="J444">
        <v>65438</v>
      </c>
      <c r="K444" t="s">
        <v>24</v>
      </c>
      <c r="L444">
        <v>0</v>
      </c>
      <c r="M444" t="s">
        <v>24</v>
      </c>
      <c r="N444" t="s">
        <v>25</v>
      </c>
      <c r="O444" t="str">
        <f>VLOOKUP(SalaryInfo[[#This Row],[company_size]],CompanySize[],2,FALSE)</f>
        <v>Medium</v>
      </c>
    </row>
    <row r="445" spans="1:15">
      <c r="A445">
        <v>567</v>
      </c>
      <c r="B445">
        <v>2022</v>
      </c>
      <c r="C445" t="str">
        <f>VLOOKUP(SalaryInfo[[#This Row],[experience_level]],Experience[],2,FALSE)</f>
        <v>Intermediate</v>
      </c>
      <c r="D445" t="s">
        <v>11</v>
      </c>
      <c r="E445" t="str">
        <f>VLOOKUP(SalaryInfo[[#This Row],[employment_type]],EmpType[],2,FALSE)</f>
        <v>Full Time</v>
      </c>
      <c r="F445" t="s">
        <v>12</v>
      </c>
      <c r="G445" t="s">
        <v>31</v>
      </c>
      <c r="H445">
        <v>50000</v>
      </c>
      <c r="I445" t="s">
        <v>23</v>
      </c>
      <c r="J445">
        <v>65438</v>
      </c>
      <c r="K445" t="s">
        <v>24</v>
      </c>
      <c r="L445">
        <v>0</v>
      </c>
      <c r="M445" t="s">
        <v>24</v>
      </c>
      <c r="N445" t="s">
        <v>25</v>
      </c>
      <c r="O445" t="str">
        <f>VLOOKUP(SalaryInfo[[#This Row],[company_size]],CompanySize[],2,FALSE)</f>
        <v>Medium</v>
      </c>
    </row>
    <row r="446" spans="1:15">
      <c r="A446">
        <v>355</v>
      </c>
      <c r="B446">
        <v>2022</v>
      </c>
      <c r="C446" t="str">
        <f>VLOOKUP(SalaryInfo[[#This Row],[experience_level]],Experience[],2,FALSE)</f>
        <v>Senior</v>
      </c>
      <c r="D446" t="s">
        <v>17</v>
      </c>
      <c r="E446" t="str">
        <f>VLOOKUP(SalaryInfo[[#This Row],[employment_type]],EmpType[],2,FALSE)</f>
        <v>Full Time</v>
      </c>
      <c r="F446" t="s">
        <v>12</v>
      </c>
      <c r="G446" t="s">
        <v>43</v>
      </c>
      <c r="H446">
        <v>50000</v>
      </c>
      <c r="I446" t="s">
        <v>23</v>
      </c>
      <c r="J446">
        <v>65438</v>
      </c>
      <c r="K446" t="s">
        <v>24</v>
      </c>
      <c r="L446">
        <v>0</v>
      </c>
      <c r="M446" t="s">
        <v>24</v>
      </c>
      <c r="N446" t="s">
        <v>25</v>
      </c>
      <c r="O446" t="str">
        <f>VLOOKUP(SalaryInfo[[#This Row],[company_size]],CompanySize[],2,FALSE)</f>
        <v>Medium</v>
      </c>
    </row>
    <row r="447" spans="1:15">
      <c r="A447">
        <v>269</v>
      </c>
      <c r="B447">
        <v>2021</v>
      </c>
      <c r="C447" t="str">
        <f>VLOOKUP(SalaryInfo[[#This Row],[experience_level]],Experience[],2,FALSE)</f>
        <v>Junior</v>
      </c>
      <c r="D447" t="s">
        <v>30</v>
      </c>
      <c r="E447" t="str">
        <f>VLOOKUP(SalaryInfo[[#This Row],[employment_type]],EmpType[],2,FALSE)</f>
        <v>Full Time</v>
      </c>
      <c r="F447" t="s">
        <v>12</v>
      </c>
      <c r="G447" t="s">
        <v>43</v>
      </c>
      <c r="H447">
        <v>55000</v>
      </c>
      <c r="I447" t="s">
        <v>14</v>
      </c>
      <c r="J447">
        <v>65013</v>
      </c>
      <c r="K447" t="s">
        <v>15</v>
      </c>
      <c r="L447">
        <v>50</v>
      </c>
      <c r="M447" t="s">
        <v>15</v>
      </c>
      <c r="N447" t="s">
        <v>25</v>
      </c>
      <c r="O447" t="str">
        <f>VLOOKUP(SalaryInfo[[#This Row],[company_size]],CompanySize[],2,FALSE)</f>
        <v>Medium</v>
      </c>
    </row>
    <row r="448" spans="1:15">
      <c r="A448">
        <v>481</v>
      </c>
      <c r="B448">
        <v>2022</v>
      </c>
      <c r="C448" t="str">
        <f>VLOOKUP(SalaryInfo[[#This Row],[experience_level]],Experience[],2,FALSE)</f>
        <v>Senior</v>
      </c>
      <c r="D448" t="s">
        <v>17</v>
      </c>
      <c r="E448" t="str">
        <f>VLOOKUP(SalaryInfo[[#This Row],[employment_type]],EmpType[],2,FALSE)</f>
        <v>Full Time</v>
      </c>
      <c r="F448" t="s">
        <v>12</v>
      </c>
      <c r="G448" t="s">
        <v>28</v>
      </c>
      <c r="H448">
        <v>65000</v>
      </c>
      <c r="I448" t="s">
        <v>19</v>
      </c>
      <c r="J448">
        <v>65000</v>
      </c>
      <c r="K448" t="s">
        <v>52</v>
      </c>
      <c r="L448">
        <v>100</v>
      </c>
      <c r="M448" t="s">
        <v>52</v>
      </c>
      <c r="N448" t="s">
        <v>21</v>
      </c>
      <c r="O448" t="str">
        <f>VLOOKUP(SalaryInfo[[#This Row],[company_size]],CompanySize[],2,FALSE)</f>
        <v>Small</v>
      </c>
    </row>
    <row r="449" spans="1:15">
      <c r="A449">
        <v>512</v>
      </c>
      <c r="B449">
        <v>2022</v>
      </c>
      <c r="C449" t="str">
        <f>VLOOKUP(SalaryInfo[[#This Row],[experience_level]],Experience[],2,FALSE)</f>
        <v>Junior</v>
      </c>
      <c r="D449" t="s">
        <v>30</v>
      </c>
      <c r="E449" t="str">
        <f>VLOOKUP(SalaryInfo[[#This Row],[employment_type]],EmpType[],2,FALSE)</f>
        <v>Full Time</v>
      </c>
      <c r="F449" t="s">
        <v>12</v>
      </c>
      <c r="G449" t="s">
        <v>43</v>
      </c>
      <c r="H449">
        <v>65000</v>
      </c>
      <c r="I449" t="s">
        <v>19</v>
      </c>
      <c r="J449">
        <v>65000</v>
      </c>
      <c r="K449" t="s">
        <v>29</v>
      </c>
      <c r="L449">
        <v>100</v>
      </c>
      <c r="M449" t="s">
        <v>29</v>
      </c>
      <c r="N449" t="s">
        <v>21</v>
      </c>
      <c r="O449" t="str">
        <f>VLOOKUP(SalaryInfo[[#This Row],[company_size]],CompanySize[],2,FALSE)</f>
        <v>Small</v>
      </c>
    </row>
    <row r="450" spans="1:15">
      <c r="A450">
        <v>507</v>
      </c>
      <c r="B450">
        <v>2022</v>
      </c>
      <c r="C450" t="str">
        <f>VLOOKUP(SalaryInfo[[#This Row],[experience_level]],Experience[],2,FALSE)</f>
        <v>Intermediate</v>
      </c>
      <c r="D450" t="s">
        <v>11</v>
      </c>
      <c r="E450" t="str">
        <f>VLOOKUP(SalaryInfo[[#This Row],[employment_type]],EmpType[],2,FALSE)</f>
        <v>Full Time</v>
      </c>
      <c r="F450" t="s">
        <v>12</v>
      </c>
      <c r="G450" t="s">
        <v>55</v>
      </c>
      <c r="H450">
        <v>59000</v>
      </c>
      <c r="I450" t="s">
        <v>14</v>
      </c>
      <c r="J450">
        <v>64849</v>
      </c>
      <c r="K450" t="s">
        <v>64</v>
      </c>
      <c r="L450">
        <v>0</v>
      </c>
      <c r="M450" t="s">
        <v>64</v>
      </c>
      <c r="N450" t="s">
        <v>16</v>
      </c>
      <c r="O450" t="str">
        <f>VLOOKUP(SalaryInfo[[#This Row],[company_size]],CompanySize[],2,FALSE)</f>
        <v>Large</v>
      </c>
    </row>
    <row r="451" spans="1:15">
      <c r="A451">
        <v>418</v>
      </c>
      <c r="B451">
        <v>2022</v>
      </c>
      <c r="C451" t="str">
        <f>VLOOKUP(SalaryInfo[[#This Row],[experience_level]],Experience[],2,FALSE)</f>
        <v>Intermediate</v>
      </c>
      <c r="D451" t="s">
        <v>11</v>
      </c>
      <c r="E451" t="str">
        <f>VLOOKUP(SalaryInfo[[#This Row],[employment_type]],EmpType[],2,FALSE)</f>
        <v>Full Time</v>
      </c>
      <c r="F451" t="s">
        <v>12</v>
      </c>
      <c r="G451" t="s">
        <v>43</v>
      </c>
      <c r="H451">
        <v>63900</v>
      </c>
      <c r="I451" t="s">
        <v>19</v>
      </c>
      <c r="J451">
        <v>63900</v>
      </c>
      <c r="K451" t="s">
        <v>29</v>
      </c>
      <c r="L451">
        <v>0</v>
      </c>
      <c r="M451" t="s">
        <v>29</v>
      </c>
      <c r="N451" t="s">
        <v>25</v>
      </c>
      <c r="O451" t="str">
        <f>VLOOKUP(SalaryInfo[[#This Row],[company_size]],CompanySize[],2,FALSE)</f>
        <v>Medium</v>
      </c>
    </row>
    <row r="452" spans="1:15">
      <c r="A452">
        <v>163</v>
      </c>
      <c r="B452">
        <v>2021</v>
      </c>
      <c r="C452" t="str">
        <f>VLOOKUP(SalaryInfo[[#This Row],[experience_level]],Experience[],2,FALSE)</f>
        <v>Junior</v>
      </c>
      <c r="D452" t="s">
        <v>30</v>
      </c>
      <c r="E452" t="str">
        <f>VLOOKUP(SalaryInfo[[#This Row],[employment_type]],EmpType[],2,FALSE)</f>
        <v>Full Time</v>
      </c>
      <c r="F452" t="s">
        <v>12</v>
      </c>
      <c r="G452" t="s">
        <v>46</v>
      </c>
      <c r="H452">
        <v>54000</v>
      </c>
      <c r="I452" t="s">
        <v>14</v>
      </c>
      <c r="J452">
        <v>63831</v>
      </c>
      <c r="K452" t="s">
        <v>15</v>
      </c>
      <c r="L452">
        <v>50</v>
      </c>
      <c r="M452" t="s">
        <v>15</v>
      </c>
      <c r="N452" t="s">
        <v>16</v>
      </c>
      <c r="O452" t="str">
        <f>VLOOKUP(SalaryInfo[[#This Row],[company_size]],CompanySize[],2,FALSE)</f>
        <v>Large</v>
      </c>
    </row>
    <row r="453" spans="1:15">
      <c r="A453">
        <v>261</v>
      </c>
      <c r="B453">
        <v>2021</v>
      </c>
      <c r="C453" t="str">
        <f>VLOOKUP(SalaryInfo[[#This Row],[experience_level]],Experience[],2,FALSE)</f>
        <v>Senior</v>
      </c>
      <c r="D453" t="s">
        <v>17</v>
      </c>
      <c r="E453" t="str">
        <f>VLOOKUP(SalaryInfo[[#This Row],[employment_type]],EmpType[],2,FALSE)</f>
        <v>Full Time</v>
      </c>
      <c r="F453" t="s">
        <v>12</v>
      </c>
      <c r="G453" t="s">
        <v>31</v>
      </c>
      <c r="H453">
        <v>54000</v>
      </c>
      <c r="I453" t="s">
        <v>14</v>
      </c>
      <c r="J453">
        <v>63831</v>
      </c>
      <c r="K453" t="s">
        <v>15</v>
      </c>
      <c r="L453">
        <v>50</v>
      </c>
      <c r="M453" t="s">
        <v>15</v>
      </c>
      <c r="N453" t="s">
        <v>16</v>
      </c>
      <c r="O453" t="str">
        <f>VLOOKUP(SalaryInfo[[#This Row],[company_size]],CompanySize[],2,FALSE)</f>
        <v>Large</v>
      </c>
    </row>
    <row r="454" spans="1:15">
      <c r="A454">
        <v>236</v>
      </c>
      <c r="B454">
        <v>2021</v>
      </c>
      <c r="C454" t="str">
        <f>VLOOKUP(SalaryInfo[[#This Row],[experience_level]],Experience[],2,FALSE)</f>
        <v>Intermediate</v>
      </c>
      <c r="D454" t="s">
        <v>11</v>
      </c>
      <c r="E454" t="str">
        <f>VLOOKUP(SalaryInfo[[#This Row],[employment_type]],EmpType[],2,FALSE)</f>
        <v>Full Time</v>
      </c>
      <c r="F454" t="s">
        <v>12</v>
      </c>
      <c r="G454" t="s">
        <v>55</v>
      </c>
      <c r="H454">
        <v>80000</v>
      </c>
      <c r="I454" t="s">
        <v>61</v>
      </c>
      <c r="J454">
        <v>63810</v>
      </c>
      <c r="K454" t="s">
        <v>62</v>
      </c>
      <c r="L454">
        <v>100</v>
      </c>
      <c r="M454" t="s">
        <v>62</v>
      </c>
      <c r="N454" t="s">
        <v>25</v>
      </c>
      <c r="O454" t="str">
        <f>VLOOKUP(SalaryInfo[[#This Row],[company_size]],CompanySize[],2,FALSE)</f>
        <v>Medium</v>
      </c>
    </row>
    <row r="455" spans="1:15">
      <c r="A455">
        <v>136</v>
      </c>
      <c r="B455">
        <v>2021</v>
      </c>
      <c r="C455" t="str">
        <f>VLOOKUP(SalaryInfo[[#This Row],[experience_level]],Experience[],2,FALSE)</f>
        <v>Intermediate</v>
      </c>
      <c r="D455" t="s">
        <v>11</v>
      </c>
      <c r="E455" t="str">
        <f>VLOOKUP(SalaryInfo[[#This Row],[employment_type]],EmpType[],2,FALSE)</f>
        <v>Full Time</v>
      </c>
      <c r="F455" t="s">
        <v>12</v>
      </c>
      <c r="G455" t="s">
        <v>69</v>
      </c>
      <c r="H455">
        <v>7000000</v>
      </c>
      <c r="I455" t="s">
        <v>44</v>
      </c>
      <c r="J455">
        <v>63711</v>
      </c>
      <c r="K455" t="s">
        <v>20</v>
      </c>
      <c r="L455">
        <v>50</v>
      </c>
      <c r="M455" t="s">
        <v>20</v>
      </c>
      <c r="N455" t="s">
        <v>21</v>
      </c>
      <c r="O455" t="str">
        <f>VLOOKUP(SalaryInfo[[#This Row],[company_size]],CompanySize[],2,FALSE)</f>
        <v>Small</v>
      </c>
    </row>
    <row r="456" spans="1:15">
      <c r="A456">
        <v>65</v>
      </c>
      <c r="B456">
        <v>2020</v>
      </c>
      <c r="C456" t="str">
        <f>VLOOKUP(SalaryInfo[[#This Row],[experience_level]],Experience[],2,FALSE)</f>
        <v>Junior</v>
      </c>
      <c r="D456" t="s">
        <v>30</v>
      </c>
      <c r="E456" t="str">
        <f>VLOOKUP(SalaryInfo[[#This Row],[employment_type]],EmpType[],2,FALSE)</f>
        <v>Full Time</v>
      </c>
      <c r="F456" t="s">
        <v>12</v>
      </c>
      <c r="G456" t="s">
        <v>13</v>
      </c>
      <c r="H456">
        <v>55000</v>
      </c>
      <c r="I456" t="s">
        <v>14</v>
      </c>
      <c r="J456">
        <v>62726</v>
      </c>
      <c r="K456" t="s">
        <v>15</v>
      </c>
      <c r="L456">
        <v>50</v>
      </c>
      <c r="M456" t="s">
        <v>15</v>
      </c>
      <c r="N456" t="s">
        <v>21</v>
      </c>
      <c r="O456" t="str">
        <f>VLOOKUP(SalaryInfo[[#This Row],[company_size]],CompanySize[],2,FALSE)</f>
        <v>Small</v>
      </c>
    </row>
    <row r="457" spans="1:15">
      <c r="A457">
        <v>70</v>
      </c>
      <c r="B457">
        <v>2020</v>
      </c>
      <c r="C457" t="str">
        <f>VLOOKUP(SalaryInfo[[#This Row],[experience_level]],Experience[],2,FALSE)</f>
        <v>Intermediate</v>
      </c>
      <c r="D457" t="s">
        <v>11</v>
      </c>
      <c r="E457" t="str">
        <f>VLOOKUP(SalaryInfo[[#This Row],[employment_type]],EmpType[],2,FALSE)</f>
        <v>Full Time</v>
      </c>
      <c r="F457" t="s">
        <v>12</v>
      </c>
      <c r="G457" t="s">
        <v>13</v>
      </c>
      <c r="H457">
        <v>55000</v>
      </c>
      <c r="I457" t="s">
        <v>14</v>
      </c>
      <c r="J457">
        <v>62726</v>
      </c>
      <c r="K457" t="s">
        <v>38</v>
      </c>
      <c r="L457">
        <v>50</v>
      </c>
      <c r="M457" t="s">
        <v>80</v>
      </c>
      <c r="N457" t="s">
        <v>21</v>
      </c>
      <c r="O457" t="str">
        <f>VLOOKUP(SalaryInfo[[#This Row],[company_size]],CompanySize[],2,FALSE)</f>
        <v>Small</v>
      </c>
    </row>
    <row r="458" spans="1:15">
      <c r="A458">
        <v>500</v>
      </c>
      <c r="B458">
        <v>2022</v>
      </c>
      <c r="C458" t="str">
        <f>VLOOKUP(SalaryInfo[[#This Row],[experience_level]],Experience[],2,FALSE)</f>
        <v>Senior</v>
      </c>
      <c r="D458" t="s">
        <v>17</v>
      </c>
      <c r="E458" t="str">
        <f>VLOOKUP(SalaryInfo[[#This Row],[employment_type]],EmpType[],2,FALSE)</f>
        <v>Full Time</v>
      </c>
      <c r="F458" t="s">
        <v>12</v>
      </c>
      <c r="G458" t="s">
        <v>28</v>
      </c>
      <c r="H458">
        <v>57000</v>
      </c>
      <c r="I458" t="s">
        <v>14</v>
      </c>
      <c r="J458">
        <v>62651</v>
      </c>
      <c r="K458" t="s">
        <v>56</v>
      </c>
      <c r="L458">
        <v>100</v>
      </c>
      <c r="M458" t="s">
        <v>56</v>
      </c>
      <c r="N458" t="s">
        <v>16</v>
      </c>
      <c r="O458" t="str">
        <f>VLOOKUP(SalaryInfo[[#This Row],[company_size]],CompanySize[],2,FALSE)</f>
        <v>Large</v>
      </c>
    </row>
    <row r="459" spans="1:15">
      <c r="A459">
        <v>146</v>
      </c>
      <c r="B459">
        <v>2021</v>
      </c>
      <c r="C459" t="str">
        <f>VLOOKUP(SalaryInfo[[#This Row],[experience_level]],Experience[],2,FALSE)</f>
        <v>Intermediate</v>
      </c>
      <c r="D459" t="s">
        <v>11</v>
      </c>
      <c r="E459" t="str">
        <f>VLOOKUP(SalaryInfo[[#This Row],[employment_type]],EmpType[],2,FALSE)</f>
        <v>Full Time</v>
      </c>
      <c r="F459" t="s">
        <v>12</v>
      </c>
      <c r="G459" t="s">
        <v>55</v>
      </c>
      <c r="H459">
        <v>53000</v>
      </c>
      <c r="I459" t="s">
        <v>14</v>
      </c>
      <c r="J459">
        <v>62649</v>
      </c>
      <c r="K459" t="s">
        <v>38</v>
      </c>
      <c r="L459">
        <v>50</v>
      </c>
      <c r="M459" t="s">
        <v>38</v>
      </c>
      <c r="N459" t="s">
        <v>25</v>
      </c>
      <c r="O459" t="str">
        <f>VLOOKUP(SalaryInfo[[#This Row],[company_size]],CompanySize[],2,FALSE)</f>
        <v>Medium</v>
      </c>
    </row>
    <row r="460" spans="1:15">
      <c r="A460">
        <v>103</v>
      </c>
      <c r="B460">
        <v>2021</v>
      </c>
      <c r="C460" t="str">
        <f>VLOOKUP(SalaryInfo[[#This Row],[experience_level]],Experience[],2,FALSE)</f>
        <v>Intermediate</v>
      </c>
      <c r="D460" t="s">
        <v>11</v>
      </c>
      <c r="E460" t="str">
        <f>VLOOKUP(SalaryInfo[[#This Row],[employment_type]],EmpType[],2,FALSE)</f>
        <v>Full Time</v>
      </c>
      <c r="F460" t="s">
        <v>12</v>
      </c>
      <c r="G460" t="s">
        <v>31</v>
      </c>
      <c r="H460">
        <v>62000</v>
      </c>
      <c r="I460" t="s">
        <v>19</v>
      </c>
      <c r="J460">
        <v>62000</v>
      </c>
      <c r="K460" t="s">
        <v>29</v>
      </c>
      <c r="L460">
        <v>0</v>
      </c>
      <c r="M460" t="s">
        <v>29</v>
      </c>
      <c r="N460" t="s">
        <v>16</v>
      </c>
      <c r="O460" t="str">
        <f>VLOOKUP(SalaryInfo[[#This Row],[company_size]],CompanySize[],2,FALSE)</f>
        <v>Large</v>
      </c>
    </row>
    <row r="461" spans="1:15">
      <c r="A461">
        <v>183</v>
      </c>
      <c r="B461">
        <v>2021</v>
      </c>
      <c r="C461" t="str">
        <f>VLOOKUP(SalaryInfo[[#This Row],[experience_level]],Experience[],2,FALSE)</f>
        <v>Senior</v>
      </c>
      <c r="D461" t="s">
        <v>17</v>
      </c>
      <c r="E461" t="str">
        <f>VLOOKUP(SalaryInfo[[#This Row],[employment_type]],EmpType[],2,FALSE)</f>
        <v>Full Time</v>
      </c>
      <c r="F461" t="s">
        <v>12</v>
      </c>
      <c r="G461" t="s">
        <v>112</v>
      </c>
      <c r="H461">
        <v>45000</v>
      </c>
      <c r="I461" t="s">
        <v>23</v>
      </c>
      <c r="J461">
        <v>61896</v>
      </c>
      <c r="K461" t="s">
        <v>24</v>
      </c>
      <c r="L461">
        <v>50</v>
      </c>
      <c r="M461" t="s">
        <v>24</v>
      </c>
      <c r="N461" t="s">
        <v>16</v>
      </c>
      <c r="O461" t="str">
        <f>VLOOKUP(SalaryInfo[[#This Row],[company_size]],CompanySize[],2,FALSE)</f>
        <v>Large</v>
      </c>
    </row>
    <row r="462" spans="1:15">
      <c r="A462">
        <v>200</v>
      </c>
      <c r="B462">
        <v>2021</v>
      </c>
      <c r="C462" t="str">
        <f>VLOOKUP(SalaryInfo[[#This Row],[experience_level]],Experience[],2,FALSE)</f>
        <v>Intermediate</v>
      </c>
      <c r="D462" t="s">
        <v>11</v>
      </c>
      <c r="E462" t="str">
        <f>VLOOKUP(SalaryInfo[[#This Row],[employment_type]],EmpType[],2,FALSE)</f>
        <v>Full Time</v>
      </c>
      <c r="F462" t="s">
        <v>12</v>
      </c>
      <c r="G462" t="s">
        <v>13</v>
      </c>
      <c r="H462">
        <v>52000</v>
      </c>
      <c r="I462" t="s">
        <v>14</v>
      </c>
      <c r="J462">
        <v>61467</v>
      </c>
      <c r="K462" t="s">
        <v>15</v>
      </c>
      <c r="L462">
        <v>50</v>
      </c>
      <c r="M462" t="s">
        <v>64</v>
      </c>
      <c r="N462" t="s">
        <v>25</v>
      </c>
      <c r="O462" t="str">
        <f>VLOOKUP(SalaryInfo[[#This Row],[company_size]],CompanySize[],2,FALSE)</f>
        <v>Medium</v>
      </c>
    </row>
    <row r="463" spans="1:15">
      <c r="A463">
        <v>361</v>
      </c>
      <c r="B463">
        <v>2022</v>
      </c>
      <c r="C463" t="str">
        <f>VLOOKUP(SalaryInfo[[#This Row],[experience_level]],Experience[],2,FALSE)</f>
        <v>Senior</v>
      </c>
      <c r="D463" t="s">
        <v>17</v>
      </c>
      <c r="E463" t="str">
        <f>VLOOKUP(SalaryInfo[[#This Row],[employment_type]],EmpType[],2,FALSE)</f>
        <v>Full Time</v>
      </c>
      <c r="F463" t="s">
        <v>12</v>
      </c>
      <c r="G463" t="s">
        <v>31</v>
      </c>
      <c r="H463">
        <v>61300</v>
      </c>
      <c r="I463" t="s">
        <v>19</v>
      </c>
      <c r="J463">
        <v>61300</v>
      </c>
      <c r="K463" t="s">
        <v>62</v>
      </c>
      <c r="L463">
        <v>100</v>
      </c>
      <c r="M463" t="s">
        <v>62</v>
      </c>
      <c r="N463" t="s">
        <v>25</v>
      </c>
      <c r="O463" t="str">
        <f>VLOOKUP(SalaryInfo[[#This Row],[company_size]],CompanySize[],2,FALSE)</f>
        <v>Medium</v>
      </c>
    </row>
    <row r="464" spans="1:15">
      <c r="A464">
        <v>363</v>
      </c>
      <c r="B464">
        <v>2022</v>
      </c>
      <c r="C464" t="str">
        <f>VLOOKUP(SalaryInfo[[#This Row],[experience_level]],Experience[],2,FALSE)</f>
        <v>Senior</v>
      </c>
      <c r="D464" t="s">
        <v>17</v>
      </c>
      <c r="E464" t="str">
        <f>VLOOKUP(SalaryInfo[[#This Row],[employment_type]],EmpType[],2,FALSE)</f>
        <v>Full Time</v>
      </c>
      <c r="F464" t="s">
        <v>12</v>
      </c>
      <c r="G464" t="s">
        <v>31</v>
      </c>
      <c r="H464">
        <v>61300</v>
      </c>
      <c r="I464" t="s">
        <v>19</v>
      </c>
      <c r="J464">
        <v>61300</v>
      </c>
      <c r="K464" t="s">
        <v>62</v>
      </c>
      <c r="L464">
        <v>100</v>
      </c>
      <c r="M464" t="s">
        <v>62</v>
      </c>
      <c r="N464" t="s">
        <v>25</v>
      </c>
      <c r="O464" t="str">
        <f>VLOOKUP(SalaryInfo[[#This Row],[company_size]],CompanySize[],2,FALSE)</f>
        <v>Medium</v>
      </c>
    </row>
    <row r="465" spans="1:15">
      <c r="A465">
        <v>174</v>
      </c>
      <c r="B465">
        <v>2021</v>
      </c>
      <c r="C465" t="str">
        <f>VLOOKUP(SalaryInfo[[#This Row],[experience_level]],Experience[],2,FALSE)</f>
        <v>Senior</v>
      </c>
      <c r="D465" t="s">
        <v>17</v>
      </c>
      <c r="E465" t="str">
        <f>VLOOKUP(SalaryInfo[[#This Row],[employment_type]],EmpType[],2,FALSE)</f>
        <v>Full Time</v>
      </c>
      <c r="F465" t="s">
        <v>12</v>
      </c>
      <c r="G465" t="s">
        <v>55</v>
      </c>
      <c r="H465">
        <v>51400</v>
      </c>
      <c r="I465" t="s">
        <v>14</v>
      </c>
      <c r="J465">
        <v>60757</v>
      </c>
      <c r="K465" t="s">
        <v>47</v>
      </c>
      <c r="L465">
        <v>50</v>
      </c>
      <c r="M465" t="s">
        <v>47</v>
      </c>
      <c r="N465" t="s">
        <v>16</v>
      </c>
      <c r="O465" t="str">
        <f>VLOOKUP(SalaryInfo[[#This Row],[company_size]],CompanySize[],2,FALSE)</f>
        <v>Large</v>
      </c>
    </row>
    <row r="466" spans="1:15">
      <c r="A466">
        <v>54</v>
      </c>
      <c r="B466">
        <v>2020</v>
      </c>
      <c r="C466" t="str">
        <f>VLOOKUP(SalaryInfo[[#This Row],[experience_level]],Experience[],2,FALSE)</f>
        <v>Senior</v>
      </c>
      <c r="D466" t="s">
        <v>17</v>
      </c>
      <c r="E466" t="str">
        <f>VLOOKUP(SalaryInfo[[#This Row],[employment_type]],EmpType[],2,FALSE)</f>
        <v>Freelance</v>
      </c>
      <c r="F466" t="s">
        <v>73</v>
      </c>
      <c r="G466" t="s">
        <v>74</v>
      </c>
      <c r="H466">
        <v>60000</v>
      </c>
      <c r="I466" t="s">
        <v>19</v>
      </c>
      <c r="J466">
        <v>60000</v>
      </c>
      <c r="K466" t="s">
        <v>75</v>
      </c>
      <c r="L466">
        <v>100</v>
      </c>
      <c r="M466" t="s">
        <v>29</v>
      </c>
      <c r="N466" t="s">
        <v>21</v>
      </c>
      <c r="O466" t="str">
        <f>VLOOKUP(SalaryInfo[[#This Row],[company_size]],CompanySize[],2,FALSE)</f>
        <v>Small</v>
      </c>
    </row>
    <row r="467" spans="1:15">
      <c r="A467">
        <v>172</v>
      </c>
      <c r="B467">
        <v>2021</v>
      </c>
      <c r="C467" t="str">
        <f>VLOOKUP(SalaryInfo[[#This Row],[experience_level]],Experience[],2,FALSE)</f>
        <v>Junior</v>
      </c>
      <c r="D467" t="s">
        <v>30</v>
      </c>
      <c r="E467" t="str">
        <f>VLOOKUP(SalaryInfo[[#This Row],[employment_type]],EmpType[],2,FALSE)</f>
        <v>Full Time</v>
      </c>
      <c r="F467" t="s">
        <v>12</v>
      </c>
      <c r="G467" t="s">
        <v>31</v>
      </c>
      <c r="H467">
        <v>60000</v>
      </c>
      <c r="I467" t="s">
        <v>19</v>
      </c>
      <c r="J467">
        <v>60000</v>
      </c>
      <c r="K467" t="s">
        <v>29</v>
      </c>
      <c r="L467">
        <v>100</v>
      </c>
      <c r="M467" t="s">
        <v>29</v>
      </c>
      <c r="N467" t="s">
        <v>21</v>
      </c>
      <c r="O467" t="str">
        <f>VLOOKUP(SalaryInfo[[#This Row],[company_size]],CompanySize[],2,FALSE)</f>
        <v>Small</v>
      </c>
    </row>
    <row r="468" spans="1:15">
      <c r="A468">
        <v>120</v>
      </c>
      <c r="B468">
        <v>2021</v>
      </c>
      <c r="C468" t="str">
        <f>VLOOKUP(SalaryInfo[[#This Row],[experience_level]],Experience[],2,FALSE)</f>
        <v>Intermediate</v>
      </c>
      <c r="D468" t="s">
        <v>11</v>
      </c>
      <c r="E468" t="str">
        <f>VLOOKUP(SalaryInfo[[#This Row],[employment_type]],EmpType[],2,FALSE)</f>
        <v>Full Time</v>
      </c>
      <c r="F468" t="s">
        <v>12</v>
      </c>
      <c r="G468" t="s">
        <v>22</v>
      </c>
      <c r="H468">
        <v>60000</v>
      </c>
      <c r="I468" t="s">
        <v>19</v>
      </c>
      <c r="J468">
        <v>60000</v>
      </c>
      <c r="K468" t="s">
        <v>67</v>
      </c>
      <c r="L468">
        <v>50</v>
      </c>
      <c r="M468" t="s">
        <v>96</v>
      </c>
      <c r="N468" t="s">
        <v>25</v>
      </c>
      <c r="O468" t="str">
        <f>VLOOKUP(SalaryInfo[[#This Row],[company_size]],CompanySize[],2,FALSE)</f>
        <v>Medium</v>
      </c>
    </row>
    <row r="469" spans="1:15">
      <c r="A469">
        <v>417</v>
      </c>
      <c r="B469">
        <v>2022</v>
      </c>
      <c r="C469" t="str">
        <f>VLOOKUP(SalaryInfo[[#This Row],[experience_level]],Experience[],2,FALSE)</f>
        <v>Senior</v>
      </c>
      <c r="D469" t="s">
        <v>17</v>
      </c>
      <c r="E469" t="str">
        <f>VLOOKUP(SalaryInfo[[#This Row],[employment_type]],EmpType[],2,FALSE)</f>
        <v>Full Time</v>
      </c>
      <c r="F469" t="s">
        <v>12</v>
      </c>
      <c r="G469" t="s">
        <v>95</v>
      </c>
      <c r="H469">
        <v>60000</v>
      </c>
      <c r="I469" t="s">
        <v>19</v>
      </c>
      <c r="J469">
        <v>60000</v>
      </c>
      <c r="K469" t="s">
        <v>134</v>
      </c>
      <c r="L469">
        <v>100</v>
      </c>
      <c r="M469" t="s">
        <v>58</v>
      </c>
      <c r="N469" t="s">
        <v>16</v>
      </c>
      <c r="O469" t="str">
        <f>VLOOKUP(SalaryInfo[[#This Row],[company_size]],CompanySize[],2,FALSE)</f>
        <v>Large</v>
      </c>
    </row>
    <row r="470" spans="1:15">
      <c r="A470">
        <v>589</v>
      </c>
      <c r="B470">
        <v>2022</v>
      </c>
      <c r="C470" t="str">
        <f>VLOOKUP(SalaryInfo[[#This Row],[experience_level]],Experience[],2,FALSE)</f>
        <v>Senior</v>
      </c>
      <c r="D470" t="s">
        <v>17</v>
      </c>
      <c r="E470" t="str">
        <f>VLOOKUP(SalaryInfo[[#This Row],[employment_type]],EmpType[],2,FALSE)</f>
        <v>Full Time</v>
      </c>
      <c r="F470" t="s">
        <v>12</v>
      </c>
      <c r="G470" t="s">
        <v>31</v>
      </c>
      <c r="H470">
        <v>60000</v>
      </c>
      <c r="I470" t="s">
        <v>19</v>
      </c>
      <c r="J470">
        <v>60000</v>
      </c>
      <c r="K470" t="s">
        <v>29</v>
      </c>
      <c r="L470">
        <v>100</v>
      </c>
      <c r="M470" t="s">
        <v>29</v>
      </c>
      <c r="N470" t="s">
        <v>25</v>
      </c>
      <c r="O470" t="str">
        <f>VLOOKUP(SalaryInfo[[#This Row],[company_size]],CompanySize[],2,FALSE)</f>
        <v>Medium</v>
      </c>
    </row>
    <row r="471" spans="1:15">
      <c r="A471">
        <v>30</v>
      </c>
      <c r="B471">
        <v>2020</v>
      </c>
      <c r="C471" t="str">
        <f>VLOOKUP(SalaryInfo[[#This Row],[experience_level]],Experience[],2,FALSE)</f>
        <v>Intermediate</v>
      </c>
      <c r="D471" t="s">
        <v>11</v>
      </c>
      <c r="E471" t="str">
        <f>VLOOKUP(SalaryInfo[[#This Row],[employment_type]],EmpType[],2,FALSE)</f>
        <v>Full Time</v>
      </c>
      <c r="F471" t="s">
        <v>12</v>
      </c>
      <c r="G471" t="s">
        <v>63</v>
      </c>
      <c r="H471">
        <v>51999</v>
      </c>
      <c r="I471" t="s">
        <v>14</v>
      </c>
      <c r="J471">
        <v>59303</v>
      </c>
      <c r="K471" t="s">
        <v>15</v>
      </c>
      <c r="L471">
        <v>100</v>
      </c>
      <c r="M471" t="s">
        <v>15</v>
      </c>
      <c r="N471" t="s">
        <v>21</v>
      </c>
      <c r="O471" t="str">
        <f>VLOOKUP(SalaryInfo[[#This Row],[company_size]],CompanySize[],2,FALSE)</f>
        <v>Small</v>
      </c>
    </row>
    <row r="472" spans="1:15">
      <c r="A472">
        <v>86</v>
      </c>
      <c r="B472">
        <v>2021</v>
      </c>
      <c r="C472" t="str">
        <f>VLOOKUP(SalaryInfo[[#This Row],[experience_level]],Experience[],2,FALSE)</f>
        <v>Junior</v>
      </c>
      <c r="D472" t="s">
        <v>30</v>
      </c>
      <c r="E472" t="str">
        <f>VLOOKUP(SalaryInfo[[#This Row],[employment_type]],EmpType[],2,FALSE)</f>
        <v>Full Time</v>
      </c>
      <c r="F472" t="s">
        <v>12</v>
      </c>
      <c r="G472" t="s">
        <v>31</v>
      </c>
      <c r="H472">
        <v>50000</v>
      </c>
      <c r="I472" t="s">
        <v>14</v>
      </c>
      <c r="J472">
        <v>59102</v>
      </c>
      <c r="K472" t="s">
        <v>38</v>
      </c>
      <c r="L472">
        <v>50</v>
      </c>
      <c r="M472" t="s">
        <v>38</v>
      </c>
      <c r="N472" t="s">
        <v>25</v>
      </c>
      <c r="O472" t="str">
        <f>VLOOKUP(SalaryInfo[[#This Row],[company_size]],CompanySize[],2,FALSE)</f>
        <v>Medium</v>
      </c>
    </row>
    <row r="473" spans="1:15">
      <c r="A473">
        <v>279</v>
      </c>
      <c r="B473">
        <v>2021</v>
      </c>
      <c r="C473" t="str">
        <f>VLOOKUP(SalaryInfo[[#This Row],[experience_level]],Experience[],2,FALSE)</f>
        <v>Junior</v>
      </c>
      <c r="D473" t="s">
        <v>30</v>
      </c>
      <c r="E473" t="str">
        <f>VLOOKUP(SalaryInfo[[#This Row],[employment_type]],EmpType[],2,FALSE)</f>
        <v>Full Time</v>
      </c>
      <c r="F473" t="s">
        <v>12</v>
      </c>
      <c r="G473" t="s">
        <v>35</v>
      </c>
      <c r="H473">
        <v>50000</v>
      </c>
      <c r="I473" t="s">
        <v>14</v>
      </c>
      <c r="J473">
        <v>59102</v>
      </c>
      <c r="K473" t="s">
        <v>80</v>
      </c>
      <c r="L473">
        <v>100</v>
      </c>
      <c r="M473" t="s">
        <v>80</v>
      </c>
      <c r="N473" t="s">
        <v>16</v>
      </c>
      <c r="O473" t="str">
        <f>VLOOKUP(SalaryInfo[[#This Row],[company_size]],CompanySize[],2,FALSE)</f>
        <v>Large</v>
      </c>
    </row>
    <row r="474" spans="1:15">
      <c r="A474">
        <v>415</v>
      </c>
      <c r="B474">
        <v>2022</v>
      </c>
      <c r="C474" t="str">
        <f>VLOOKUP(SalaryInfo[[#This Row],[experience_level]],Experience[],2,FALSE)</f>
        <v>Intermediate</v>
      </c>
      <c r="D474" t="s">
        <v>11</v>
      </c>
      <c r="E474" t="str">
        <f>VLOOKUP(SalaryInfo[[#This Row],[employment_type]],EmpType[],2,FALSE)</f>
        <v>Full Time</v>
      </c>
      <c r="F474" t="s">
        <v>12</v>
      </c>
      <c r="G474" t="s">
        <v>43</v>
      </c>
      <c r="H474">
        <v>45000</v>
      </c>
      <c r="I474" t="s">
        <v>23</v>
      </c>
      <c r="J474">
        <v>58894</v>
      </c>
      <c r="K474" t="s">
        <v>24</v>
      </c>
      <c r="L474">
        <v>100</v>
      </c>
      <c r="M474" t="s">
        <v>24</v>
      </c>
      <c r="N474" t="s">
        <v>25</v>
      </c>
      <c r="O474" t="str">
        <f>VLOOKUP(SalaryInfo[[#This Row],[company_size]],CompanySize[],2,FALSE)</f>
        <v>Medium</v>
      </c>
    </row>
    <row r="475" spans="1:15">
      <c r="A475">
        <v>460</v>
      </c>
      <c r="B475">
        <v>2022</v>
      </c>
      <c r="C475" t="str">
        <f>VLOOKUP(SalaryInfo[[#This Row],[experience_level]],Experience[],2,FALSE)</f>
        <v>Intermediate</v>
      </c>
      <c r="D475" t="s">
        <v>11</v>
      </c>
      <c r="E475" t="str">
        <f>VLOOKUP(SalaryInfo[[#This Row],[employment_type]],EmpType[],2,FALSE)</f>
        <v>Full Time</v>
      </c>
      <c r="F475" t="s">
        <v>12</v>
      </c>
      <c r="G475" t="s">
        <v>68</v>
      </c>
      <c r="H475">
        <v>53000</v>
      </c>
      <c r="I475" t="s">
        <v>14</v>
      </c>
      <c r="J475">
        <v>58255</v>
      </c>
      <c r="K475" t="s">
        <v>47</v>
      </c>
      <c r="L475">
        <v>50</v>
      </c>
      <c r="M475" t="s">
        <v>47</v>
      </c>
      <c r="N475" t="s">
        <v>16</v>
      </c>
      <c r="O475" t="str">
        <f>VLOOKUP(SalaryInfo[[#This Row],[company_size]],CompanySize[],2,FALSE)</f>
        <v>Large</v>
      </c>
    </row>
    <row r="476" spans="1:15">
      <c r="A476">
        <v>496</v>
      </c>
      <c r="B476">
        <v>2022</v>
      </c>
      <c r="C476" t="str">
        <f>VLOOKUP(SalaryInfo[[#This Row],[experience_level]],Experience[],2,FALSE)</f>
        <v>Junior</v>
      </c>
      <c r="D476" t="s">
        <v>30</v>
      </c>
      <c r="E476" t="str">
        <f>VLOOKUP(SalaryInfo[[#This Row],[employment_type]],EmpType[],2,FALSE)</f>
        <v>Full Time</v>
      </c>
      <c r="F476" t="s">
        <v>12</v>
      </c>
      <c r="G476" t="s">
        <v>43</v>
      </c>
      <c r="H476">
        <v>52800</v>
      </c>
      <c r="I476" t="s">
        <v>14</v>
      </c>
      <c r="J476">
        <v>58035</v>
      </c>
      <c r="K476" t="s">
        <v>42</v>
      </c>
      <c r="L476">
        <v>100</v>
      </c>
      <c r="M476" t="s">
        <v>15</v>
      </c>
      <c r="N476" t="s">
        <v>25</v>
      </c>
      <c r="O476" t="str">
        <f>VLOOKUP(SalaryInfo[[#This Row],[company_size]],CompanySize[],2,FALSE)</f>
        <v>Medium</v>
      </c>
    </row>
    <row r="477" spans="1:15">
      <c r="A477">
        <v>367</v>
      </c>
      <c r="B477">
        <v>2022</v>
      </c>
      <c r="C477" t="str">
        <f>VLOOKUP(SalaryInfo[[#This Row],[experience_level]],Experience[],2,FALSE)</f>
        <v>Intermediate</v>
      </c>
      <c r="D477" t="s">
        <v>11</v>
      </c>
      <c r="E477" t="str">
        <f>VLOOKUP(SalaryInfo[[#This Row],[employment_type]],EmpType[],2,FALSE)</f>
        <v>Full Time</v>
      </c>
      <c r="F477" t="s">
        <v>12</v>
      </c>
      <c r="G477" t="s">
        <v>31</v>
      </c>
      <c r="H477">
        <v>58000</v>
      </c>
      <c r="I477" t="s">
        <v>19</v>
      </c>
      <c r="J477">
        <v>58000</v>
      </c>
      <c r="K477" t="s">
        <v>29</v>
      </c>
      <c r="L477">
        <v>0</v>
      </c>
      <c r="M477" t="s">
        <v>29</v>
      </c>
      <c r="N477" t="s">
        <v>21</v>
      </c>
      <c r="O477" t="str">
        <f>VLOOKUP(SalaryInfo[[#This Row],[company_size]],CompanySize[],2,FALSE)</f>
        <v>Small</v>
      </c>
    </row>
    <row r="478" spans="1:15">
      <c r="A478">
        <v>406</v>
      </c>
      <c r="B478">
        <v>2022</v>
      </c>
      <c r="C478" t="str">
        <f>VLOOKUP(SalaryInfo[[#This Row],[experience_level]],Experience[],2,FALSE)</f>
        <v>Intermediate</v>
      </c>
      <c r="D478" t="s">
        <v>11</v>
      </c>
      <c r="E478" t="str">
        <f>VLOOKUP(SalaryInfo[[#This Row],[employment_type]],EmpType[],2,FALSE)</f>
        <v>Full Time</v>
      </c>
      <c r="F478" t="s">
        <v>12</v>
      </c>
      <c r="G478" t="s">
        <v>31</v>
      </c>
      <c r="H478">
        <v>58000</v>
      </c>
      <c r="I478" t="s">
        <v>19</v>
      </c>
      <c r="J478">
        <v>58000</v>
      </c>
      <c r="K478" t="s">
        <v>29</v>
      </c>
      <c r="L478">
        <v>0</v>
      </c>
      <c r="M478" t="s">
        <v>29</v>
      </c>
      <c r="N478" t="s">
        <v>21</v>
      </c>
      <c r="O478" t="str">
        <f>VLOOKUP(SalaryInfo[[#This Row],[company_size]],CompanySize[],2,FALSE)</f>
        <v>Small</v>
      </c>
    </row>
    <row r="479" spans="1:15">
      <c r="A479">
        <v>276</v>
      </c>
      <c r="B479">
        <v>2021</v>
      </c>
      <c r="C479" t="str">
        <f>VLOOKUP(SalaryInfo[[#This Row],[experience_level]],Experience[],2,FALSE)</f>
        <v>Junior</v>
      </c>
      <c r="D479" t="s">
        <v>30</v>
      </c>
      <c r="E479" t="str">
        <f>VLOOKUP(SalaryInfo[[#This Row],[employment_type]],EmpType[],2,FALSE)</f>
        <v>Full Time</v>
      </c>
      <c r="F479" t="s">
        <v>12</v>
      </c>
      <c r="G479" t="s">
        <v>13</v>
      </c>
      <c r="H479">
        <v>58000</v>
      </c>
      <c r="I479" t="s">
        <v>19</v>
      </c>
      <c r="J479">
        <v>58000</v>
      </c>
      <c r="K479" t="s">
        <v>29</v>
      </c>
      <c r="L479">
        <v>50</v>
      </c>
      <c r="M479" t="s">
        <v>29</v>
      </c>
      <c r="N479" t="s">
        <v>16</v>
      </c>
      <c r="O479" t="str">
        <f>VLOOKUP(SalaryInfo[[#This Row],[company_size]],CompanySize[],2,FALSE)</f>
        <v>Large</v>
      </c>
    </row>
    <row r="480" spans="1:15">
      <c r="A480">
        <v>211</v>
      </c>
      <c r="B480">
        <v>2021</v>
      </c>
      <c r="C480" t="str">
        <f>VLOOKUP(SalaryInfo[[#This Row],[experience_level]],Experience[],2,FALSE)</f>
        <v>Intermediate</v>
      </c>
      <c r="D480" t="s">
        <v>11</v>
      </c>
      <c r="E480" t="str">
        <f>VLOOKUP(SalaryInfo[[#This Row],[employment_type]],EmpType[],2,FALSE)</f>
        <v>Full Time</v>
      </c>
      <c r="F480" t="s">
        <v>12</v>
      </c>
      <c r="G480" t="s">
        <v>55</v>
      </c>
      <c r="H480">
        <v>48000</v>
      </c>
      <c r="I480" t="s">
        <v>14</v>
      </c>
      <c r="J480">
        <v>56738</v>
      </c>
      <c r="K480" t="s">
        <v>38</v>
      </c>
      <c r="L480">
        <v>50</v>
      </c>
      <c r="M480" t="s">
        <v>38</v>
      </c>
      <c r="N480" t="s">
        <v>21</v>
      </c>
      <c r="O480" t="str">
        <f>VLOOKUP(SalaryInfo[[#This Row],[company_size]],CompanySize[],2,FALSE)</f>
        <v>Small</v>
      </c>
    </row>
    <row r="481" spans="1:15">
      <c r="A481">
        <v>223</v>
      </c>
      <c r="B481">
        <v>2021</v>
      </c>
      <c r="C481" t="str">
        <f>VLOOKUP(SalaryInfo[[#This Row],[experience_level]],Experience[],2,FALSE)</f>
        <v>Intermediate</v>
      </c>
      <c r="D481" t="s">
        <v>11</v>
      </c>
      <c r="E481" t="str">
        <f>VLOOKUP(SalaryInfo[[#This Row],[employment_type]],EmpType[],2,FALSE)</f>
        <v>Full Time</v>
      </c>
      <c r="F481" t="s">
        <v>12</v>
      </c>
      <c r="G481" t="s">
        <v>13</v>
      </c>
      <c r="H481">
        <v>40900</v>
      </c>
      <c r="I481" t="s">
        <v>23</v>
      </c>
      <c r="J481">
        <v>56256</v>
      </c>
      <c r="K481" t="s">
        <v>24</v>
      </c>
      <c r="L481">
        <v>50</v>
      </c>
      <c r="M481" t="s">
        <v>24</v>
      </c>
      <c r="N481" t="s">
        <v>16</v>
      </c>
      <c r="O481" t="str">
        <f>VLOOKUP(SalaryInfo[[#This Row],[company_size]],CompanySize[],2,FALSE)</f>
        <v>Large</v>
      </c>
    </row>
    <row r="482" spans="1:15">
      <c r="A482">
        <v>19</v>
      </c>
      <c r="B482">
        <v>2020</v>
      </c>
      <c r="C482" t="str">
        <f>VLOOKUP(SalaryInfo[[#This Row],[experience_level]],Experience[],2,FALSE)</f>
        <v>Intermediate</v>
      </c>
      <c r="D482" t="s">
        <v>11</v>
      </c>
      <c r="E482" t="str">
        <f>VLOOKUP(SalaryInfo[[#This Row],[employment_type]],EmpType[],2,FALSE)</f>
        <v>Full Time</v>
      </c>
      <c r="F482" t="s">
        <v>12</v>
      </c>
      <c r="G482" t="s">
        <v>36</v>
      </c>
      <c r="H482">
        <v>56000</v>
      </c>
      <c r="I482" t="s">
        <v>19</v>
      </c>
      <c r="J482">
        <v>56000</v>
      </c>
      <c r="K482" t="s">
        <v>47</v>
      </c>
      <c r="L482">
        <v>100</v>
      </c>
      <c r="M482" t="s">
        <v>29</v>
      </c>
      <c r="N482" t="s">
        <v>25</v>
      </c>
      <c r="O482" t="str">
        <f>VLOOKUP(SalaryInfo[[#This Row],[company_size]],CompanySize[],2,FALSE)</f>
        <v>Medium</v>
      </c>
    </row>
    <row r="483" spans="1:15">
      <c r="A483">
        <v>168</v>
      </c>
      <c r="B483">
        <v>2021</v>
      </c>
      <c r="C483" t="str">
        <f>VLOOKUP(SalaryInfo[[#This Row],[experience_level]],Experience[],2,FALSE)</f>
        <v>Junior</v>
      </c>
      <c r="D483" t="s">
        <v>30</v>
      </c>
      <c r="E483" t="str">
        <f>VLOOKUP(SalaryInfo[[#This Row],[employment_type]],EmpType[],2,FALSE)</f>
        <v>Full Time</v>
      </c>
      <c r="F483" t="s">
        <v>12</v>
      </c>
      <c r="G483" t="s">
        <v>51</v>
      </c>
      <c r="H483">
        <v>55000</v>
      </c>
      <c r="I483" t="s">
        <v>19</v>
      </c>
      <c r="J483">
        <v>55000</v>
      </c>
      <c r="K483" t="s">
        <v>29</v>
      </c>
      <c r="L483">
        <v>50</v>
      </c>
      <c r="M483" t="s">
        <v>29</v>
      </c>
      <c r="N483" t="s">
        <v>21</v>
      </c>
      <c r="O483" t="str">
        <f>VLOOKUP(SalaryInfo[[#This Row],[company_size]],CompanySize[],2,FALSE)</f>
        <v>Small</v>
      </c>
    </row>
    <row r="484" spans="1:15">
      <c r="A484">
        <v>277</v>
      </c>
      <c r="B484">
        <v>2021</v>
      </c>
      <c r="C484" t="str">
        <f>VLOOKUP(SalaryInfo[[#This Row],[experience_level]],Experience[],2,FALSE)</f>
        <v>Senior</v>
      </c>
      <c r="D484" t="s">
        <v>17</v>
      </c>
      <c r="E484" t="str">
        <f>VLOOKUP(SalaryInfo[[#This Row],[employment_type]],EmpType[],2,FALSE)</f>
        <v>Full Time</v>
      </c>
      <c r="F484" t="s">
        <v>12</v>
      </c>
      <c r="G484" t="s">
        <v>70</v>
      </c>
      <c r="H484">
        <v>55000</v>
      </c>
      <c r="I484" t="s">
        <v>19</v>
      </c>
      <c r="J484">
        <v>55000</v>
      </c>
      <c r="K484" t="s">
        <v>67</v>
      </c>
      <c r="L484">
        <v>100</v>
      </c>
      <c r="M484" t="s">
        <v>67</v>
      </c>
      <c r="N484" t="s">
        <v>16</v>
      </c>
      <c r="O484" t="str">
        <f>VLOOKUP(SalaryInfo[[#This Row],[company_size]],CompanySize[],2,FALSE)</f>
        <v>Large</v>
      </c>
    </row>
    <row r="485" spans="1:15">
      <c r="A485">
        <v>373</v>
      </c>
      <c r="B485">
        <v>2022</v>
      </c>
      <c r="C485" t="str">
        <f>VLOOKUP(SalaryInfo[[#This Row],[experience_level]],Experience[],2,FALSE)</f>
        <v>Intermediate</v>
      </c>
      <c r="D485" t="s">
        <v>11</v>
      </c>
      <c r="E485" t="str">
        <f>VLOOKUP(SalaryInfo[[#This Row],[employment_type]],EmpType[],2,FALSE)</f>
        <v>Full Time</v>
      </c>
      <c r="F485" t="s">
        <v>12</v>
      </c>
      <c r="G485" t="s">
        <v>132</v>
      </c>
      <c r="H485">
        <v>50000</v>
      </c>
      <c r="I485" t="s">
        <v>14</v>
      </c>
      <c r="J485">
        <v>54957</v>
      </c>
      <c r="K485" t="s">
        <v>50</v>
      </c>
      <c r="L485">
        <v>0</v>
      </c>
      <c r="M485" t="s">
        <v>50</v>
      </c>
      <c r="N485" t="s">
        <v>25</v>
      </c>
      <c r="O485" t="str">
        <f>VLOOKUP(SalaryInfo[[#This Row],[company_size]],CompanySize[],2,FALSE)</f>
        <v>Medium</v>
      </c>
    </row>
    <row r="486" spans="1:15">
      <c r="A486">
        <v>374</v>
      </c>
      <c r="B486">
        <v>2022</v>
      </c>
      <c r="C486" t="str">
        <f>VLOOKUP(SalaryInfo[[#This Row],[experience_level]],Experience[],2,FALSE)</f>
        <v>Intermediate</v>
      </c>
      <c r="D486" t="s">
        <v>11</v>
      </c>
      <c r="E486" t="str">
        <f>VLOOKUP(SalaryInfo[[#This Row],[employment_type]],EmpType[],2,FALSE)</f>
        <v>Full Time</v>
      </c>
      <c r="F486" t="s">
        <v>12</v>
      </c>
      <c r="G486" t="s">
        <v>132</v>
      </c>
      <c r="H486">
        <v>50000</v>
      </c>
      <c r="I486" t="s">
        <v>14</v>
      </c>
      <c r="J486">
        <v>54957</v>
      </c>
      <c r="K486" t="s">
        <v>50</v>
      </c>
      <c r="L486">
        <v>0</v>
      </c>
      <c r="M486" t="s">
        <v>50</v>
      </c>
      <c r="N486" t="s">
        <v>25</v>
      </c>
      <c r="O486" t="str">
        <f>VLOOKUP(SalaryInfo[[#This Row],[company_size]],CompanySize[],2,FALSE)</f>
        <v>Medium</v>
      </c>
    </row>
    <row r="487" spans="1:15">
      <c r="A487">
        <v>462</v>
      </c>
      <c r="B487">
        <v>2022</v>
      </c>
      <c r="C487" t="str">
        <f>VLOOKUP(SalaryInfo[[#This Row],[experience_level]],Experience[],2,FALSE)</f>
        <v>Intermediate</v>
      </c>
      <c r="D487" t="s">
        <v>11</v>
      </c>
      <c r="E487" t="str">
        <f>VLOOKUP(SalaryInfo[[#This Row],[employment_type]],EmpType[],2,FALSE)</f>
        <v>Part Time</v>
      </c>
      <c r="F487" t="s">
        <v>47</v>
      </c>
      <c r="G487" t="s">
        <v>43</v>
      </c>
      <c r="H487">
        <v>50000</v>
      </c>
      <c r="I487" t="s">
        <v>14</v>
      </c>
      <c r="J487">
        <v>54957</v>
      </c>
      <c r="K487" t="s">
        <v>15</v>
      </c>
      <c r="L487">
        <v>50</v>
      </c>
      <c r="M487" t="s">
        <v>15</v>
      </c>
      <c r="N487" t="s">
        <v>16</v>
      </c>
      <c r="O487" t="str">
        <f>VLOOKUP(SalaryInfo[[#This Row],[company_size]],CompanySize[],2,FALSE)</f>
        <v>Large</v>
      </c>
    </row>
    <row r="488" spans="1:15">
      <c r="A488">
        <v>53</v>
      </c>
      <c r="B488">
        <v>2020</v>
      </c>
      <c r="C488" t="str">
        <f>VLOOKUP(SalaryInfo[[#This Row],[experience_level]],Experience[],2,FALSE)</f>
        <v>Junior</v>
      </c>
      <c r="D488" t="s">
        <v>30</v>
      </c>
      <c r="E488" t="str">
        <f>VLOOKUP(SalaryInfo[[#This Row],[employment_type]],EmpType[],2,FALSE)</f>
        <v>Full Time</v>
      </c>
      <c r="F488" t="s">
        <v>12</v>
      </c>
      <c r="G488" t="s">
        <v>43</v>
      </c>
      <c r="H488">
        <v>48000</v>
      </c>
      <c r="I488" t="s">
        <v>14</v>
      </c>
      <c r="J488">
        <v>54742</v>
      </c>
      <c r="K488" t="s">
        <v>42</v>
      </c>
      <c r="L488">
        <v>100</v>
      </c>
      <c r="M488" t="s">
        <v>15</v>
      </c>
      <c r="N488" t="s">
        <v>16</v>
      </c>
      <c r="O488" t="str">
        <f>VLOOKUP(SalaryInfo[[#This Row],[company_size]],CompanySize[],2,FALSE)</f>
        <v>Large</v>
      </c>
    </row>
    <row r="489" spans="1:15">
      <c r="A489">
        <v>82</v>
      </c>
      <c r="B489">
        <v>2021</v>
      </c>
      <c r="C489" t="str">
        <f>VLOOKUP(SalaryInfo[[#This Row],[experience_level]],Experience[],2,FALSE)</f>
        <v>Intermediate</v>
      </c>
      <c r="D489" t="s">
        <v>11</v>
      </c>
      <c r="E489" t="str">
        <f>VLOOKUP(SalaryInfo[[#This Row],[employment_type]],EmpType[],2,FALSE)</f>
        <v>Full Time</v>
      </c>
      <c r="F489" t="s">
        <v>12</v>
      </c>
      <c r="G489" t="s">
        <v>84</v>
      </c>
      <c r="H489">
        <v>68000</v>
      </c>
      <c r="I489" t="s">
        <v>61</v>
      </c>
      <c r="J489">
        <v>54238</v>
      </c>
      <c r="K489" t="s">
        <v>24</v>
      </c>
      <c r="L489">
        <v>50</v>
      </c>
      <c r="M489" t="s">
        <v>62</v>
      </c>
      <c r="N489" t="s">
        <v>16</v>
      </c>
      <c r="O489" t="str">
        <f>VLOOKUP(SalaryInfo[[#This Row],[company_size]],CompanySize[],2,FALSE)</f>
        <v>Large</v>
      </c>
    </row>
    <row r="490" spans="1:15">
      <c r="A490">
        <v>198</v>
      </c>
      <c r="B490">
        <v>2021</v>
      </c>
      <c r="C490" t="str">
        <f>VLOOKUP(SalaryInfo[[#This Row],[experience_level]],Experience[],2,FALSE)</f>
        <v>Senior</v>
      </c>
      <c r="D490" t="s">
        <v>17</v>
      </c>
      <c r="E490" t="str">
        <f>VLOOKUP(SalaryInfo[[#This Row],[employment_type]],EmpType[],2,FALSE)</f>
        <v>Full Time</v>
      </c>
      <c r="F490" t="s">
        <v>12</v>
      </c>
      <c r="G490" t="s">
        <v>79</v>
      </c>
      <c r="H490">
        <v>4000000</v>
      </c>
      <c r="I490" t="s">
        <v>39</v>
      </c>
      <c r="J490">
        <v>54094</v>
      </c>
      <c r="K490" t="s">
        <v>40</v>
      </c>
      <c r="L490">
        <v>50</v>
      </c>
      <c r="M490" t="s">
        <v>29</v>
      </c>
      <c r="N490" t="s">
        <v>16</v>
      </c>
      <c r="O490" t="str">
        <f>VLOOKUP(SalaryInfo[[#This Row],[company_size]],CompanySize[],2,FALSE)</f>
        <v>Large</v>
      </c>
    </row>
    <row r="491" spans="1:15">
      <c r="A491">
        <v>565</v>
      </c>
      <c r="B491">
        <v>2022</v>
      </c>
      <c r="C491" t="str">
        <f>VLOOKUP(SalaryInfo[[#This Row],[experience_level]],Experience[],2,FALSE)</f>
        <v>Senior</v>
      </c>
      <c r="D491" t="s">
        <v>17</v>
      </c>
      <c r="E491" t="str">
        <f>VLOOKUP(SalaryInfo[[#This Row],[employment_type]],EmpType[],2,FALSE)</f>
        <v>Full Time</v>
      </c>
      <c r="F491" t="s">
        <v>12</v>
      </c>
      <c r="G491" t="s">
        <v>43</v>
      </c>
      <c r="H491">
        <v>54000</v>
      </c>
      <c r="I491" t="s">
        <v>19</v>
      </c>
      <c r="J491">
        <v>54000</v>
      </c>
      <c r="K491" t="s">
        <v>29</v>
      </c>
      <c r="L491">
        <v>0</v>
      </c>
      <c r="M491" t="s">
        <v>29</v>
      </c>
      <c r="N491" t="s">
        <v>25</v>
      </c>
      <c r="O491" t="str">
        <f>VLOOKUP(SalaryInfo[[#This Row],[company_size]],CompanySize[],2,FALSE)</f>
        <v>Medium</v>
      </c>
    </row>
    <row r="492" spans="1:15">
      <c r="A492">
        <v>75</v>
      </c>
      <c r="B492">
        <v>2021</v>
      </c>
      <c r="C492" t="str">
        <f>VLOOKUP(SalaryInfo[[#This Row],[experience_level]],Experience[],2,FALSE)</f>
        <v>Senior</v>
      </c>
      <c r="D492" t="s">
        <v>17</v>
      </c>
      <c r="E492" t="str">
        <f>VLOOKUP(SalaryInfo[[#This Row],[employment_type]],EmpType[],2,FALSE)</f>
        <v>Full Time</v>
      </c>
      <c r="F492" t="s">
        <v>12</v>
      </c>
      <c r="G492" t="s">
        <v>13</v>
      </c>
      <c r="H492">
        <v>45000</v>
      </c>
      <c r="I492" t="s">
        <v>14</v>
      </c>
      <c r="J492">
        <v>53192</v>
      </c>
      <c r="K492" t="s">
        <v>38</v>
      </c>
      <c r="L492">
        <v>50</v>
      </c>
      <c r="M492" t="s">
        <v>38</v>
      </c>
      <c r="N492" t="s">
        <v>16</v>
      </c>
      <c r="O492" t="str">
        <f>VLOOKUP(SalaryInfo[[#This Row],[company_size]],CompanySize[],2,FALSE)</f>
        <v>Large</v>
      </c>
    </row>
    <row r="493" spans="1:15">
      <c r="A493">
        <v>499</v>
      </c>
      <c r="B493">
        <v>2022</v>
      </c>
      <c r="C493" t="str">
        <f>VLOOKUP(SalaryInfo[[#This Row],[experience_level]],Experience[],2,FALSE)</f>
        <v>Junior</v>
      </c>
      <c r="D493" t="s">
        <v>30</v>
      </c>
      <c r="E493" t="str">
        <f>VLOOKUP(SalaryInfo[[#This Row],[employment_type]],EmpType[],2,FALSE)</f>
        <v>Full Time</v>
      </c>
      <c r="F493" t="s">
        <v>12</v>
      </c>
      <c r="G493" t="s">
        <v>13</v>
      </c>
      <c r="H493">
        <v>66500</v>
      </c>
      <c r="I493" t="s">
        <v>61</v>
      </c>
      <c r="J493">
        <v>52396</v>
      </c>
      <c r="K493" t="s">
        <v>62</v>
      </c>
      <c r="L493">
        <v>100</v>
      </c>
      <c r="M493" t="s">
        <v>62</v>
      </c>
      <c r="N493" t="s">
        <v>16</v>
      </c>
      <c r="O493" t="str">
        <f>VLOOKUP(SalaryInfo[[#This Row],[company_size]],CompanySize[],2,FALSE)</f>
        <v>Large</v>
      </c>
    </row>
    <row r="494" spans="1:15">
      <c r="A494">
        <v>314</v>
      </c>
      <c r="B494">
        <v>2022</v>
      </c>
      <c r="C494" t="str">
        <f>VLOOKUP(SalaryInfo[[#This Row],[experience_level]],Experience[],2,FALSE)</f>
        <v>Intermediate</v>
      </c>
      <c r="D494" t="s">
        <v>11</v>
      </c>
      <c r="E494" t="str">
        <f>VLOOKUP(SalaryInfo[[#This Row],[employment_type]],EmpType[],2,FALSE)</f>
        <v>Full Time</v>
      </c>
      <c r="F494" t="s">
        <v>12</v>
      </c>
      <c r="G494" t="s">
        <v>43</v>
      </c>
      <c r="H494">
        <v>40000</v>
      </c>
      <c r="I494" t="s">
        <v>23</v>
      </c>
      <c r="J494">
        <v>52351</v>
      </c>
      <c r="K494" t="s">
        <v>24</v>
      </c>
      <c r="L494">
        <v>0</v>
      </c>
      <c r="M494" t="s">
        <v>24</v>
      </c>
      <c r="N494" t="s">
        <v>25</v>
      </c>
      <c r="O494" t="str">
        <f>VLOOKUP(SalaryInfo[[#This Row],[company_size]],CompanySize[],2,FALSE)</f>
        <v>Medium</v>
      </c>
    </row>
    <row r="495" spans="1:15">
      <c r="A495">
        <v>408</v>
      </c>
      <c r="B495">
        <v>2022</v>
      </c>
      <c r="C495" t="str">
        <f>VLOOKUP(SalaryInfo[[#This Row],[experience_level]],Experience[],2,FALSE)</f>
        <v>Intermediate</v>
      </c>
      <c r="D495" t="s">
        <v>11</v>
      </c>
      <c r="E495" t="str">
        <f>VLOOKUP(SalaryInfo[[#This Row],[employment_type]],EmpType[],2,FALSE)</f>
        <v>Full Time</v>
      </c>
      <c r="F495" t="s">
        <v>12</v>
      </c>
      <c r="G495" t="s">
        <v>31</v>
      </c>
      <c r="H495">
        <v>40000</v>
      </c>
      <c r="I495" t="s">
        <v>23</v>
      </c>
      <c r="J495">
        <v>52351</v>
      </c>
      <c r="K495" t="s">
        <v>24</v>
      </c>
      <c r="L495">
        <v>100</v>
      </c>
      <c r="M495" t="s">
        <v>24</v>
      </c>
      <c r="N495" t="s">
        <v>25</v>
      </c>
      <c r="O495" t="str">
        <f>VLOOKUP(SalaryInfo[[#This Row],[company_size]],CompanySize[],2,FALSE)</f>
        <v>Medium</v>
      </c>
    </row>
    <row r="496" spans="1:15">
      <c r="A496">
        <v>304</v>
      </c>
      <c r="B496">
        <v>2022</v>
      </c>
      <c r="C496" t="str">
        <f>VLOOKUP(SalaryInfo[[#This Row],[experience_level]],Experience[],2,FALSE)</f>
        <v>Junior</v>
      </c>
      <c r="D496" t="s">
        <v>30</v>
      </c>
      <c r="E496" t="str">
        <f>VLOOKUP(SalaryInfo[[#This Row],[employment_type]],EmpType[],2,FALSE)</f>
        <v>Full Time</v>
      </c>
      <c r="F496" t="s">
        <v>12</v>
      </c>
      <c r="G496" t="s">
        <v>43</v>
      </c>
      <c r="H496">
        <v>40000</v>
      </c>
      <c r="I496" t="s">
        <v>23</v>
      </c>
      <c r="J496">
        <v>52351</v>
      </c>
      <c r="K496" t="s">
        <v>24</v>
      </c>
      <c r="L496">
        <v>100</v>
      </c>
      <c r="M496" t="s">
        <v>24</v>
      </c>
      <c r="N496" t="s">
        <v>25</v>
      </c>
      <c r="O496" t="str">
        <f>VLOOKUP(SalaryInfo[[#This Row],[company_size]],CompanySize[],2,FALSE)</f>
        <v>Medium</v>
      </c>
    </row>
    <row r="497" spans="1:15">
      <c r="A497">
        <v>601</v>
      </c>
      <c r="B497">
        <v>2022</v>
      </c>
      <c r="C497" t="str">
        <f>VLOOKUP(SalaryInfo[[#This Row],[experience_level]],Experience[],2,FALSE)</f>
        <v>Junior</v>
      </c>
      <c r="D497" t="s">
        <v>30</v>
      </c>
      <c r="E497" t="str">
        <f>VLOOKUP(SalaryInfo[[#This Row],[employment_type]],EmpType[],2,FALSE)</f>
        <v>Full Time</v>
      </c>
      <c r="F497" t="s">
        <v>12</v>
      </c>
      <c r="G497" t="s">
        <v>31</v>
      </c>
      <c r="H497">
        <v>52000</v>
      </c>
      <c r="I497" t="s">
        <v>19</v>
      </c>
      <c r="J497">
        <v>52000</v>
      </c>
      <c r="K497" t="s">
        <v>62</v>
      </c>
      <c r="L497">
        <v>0</v>
      </c>
      <c r="M497" t="s">
        <v>62</v>
      </c>
      <c r="N497" t="s">
        <v>25</v>
      </c>
      <c r="O497" t="str">
        <f>VLOOKUP(SalaryInfo[[#This Row],[company_size]],CompanySize[],2,FALSE)</f>
        <v>Medium</v>
      </c>
    </row>
    <row r="498" spans="1:15">
      <c r="A498">
        <v>105</v>
      </c>
      <c r="B498">
        <v>2021</v>
      </c>
      <c r="C498" t="str">
        <f>VLOOKUP(SalaryInfo[[#This Row],[experience_level]],Experience[],2,FALSE)</f>
        <v>Intermediate</v>
      </c>
      <c r="D498" t="s">
        <v>11</v>
      </c>
      <c r="E498" t="str">
        <f>VLOOKUP(SalaryInfo[[#This Row],[employment_type]],EmpType[],2,FALSE)</f>
        <v>Full Time</v>
      </c>
      <c r="F498" t="s">
        <v>12</v>
      </c>
      <c r="G498" t="s">
        <v>31</v>
      </c>
      <c r="H498">
        <v>37456</v>
      </c>
      <c r="I498" t="s">
        <v>23</v>
      </c>
      <c r="J498">
        <v>51519</v>
      </c>
      <c r="K498" t="s">
        <v>24</v>
      </c>
      <c r="L498">
        <v>50</v>
      </c>
      <c r="M498" t="s">
        <v>24</v>
      </c>
      <c r="N498" t="s">
        <v>16</v>
      </c>
      <c r="O498" t="str">
        <f>VLOOKUP(SalaryInfo[[#This Row],[company_size]],CompanySize[],2,FALSE)</f>
        <v>Large</v>
      </c>
    </row>
    <row r="499" spans="1:15">
      <c r="A499">
        <v>10</v>
      </c>
      <c r="B499">
        <v>2020</v>
      </c>
      <c r="C499" t="str">
        <f>VLOOKUP(SalaryInfo[[#This Row],[experience_level]],Experience[],2,FALSE)</f>
        <v>Junior</v>
      </c>
      <c r="D499" t="s">
        <v>30</v>
      </c>
      <c r="E499" t="str">
        <f>VLOOKUP(SalaryInfo[[#This Row],[employment_type]],EmpType[],2,FALSE)</f>
        <v>Full Time</v>
      </c>
      <c r="F499" t="s">
        <v>12</v>
      </c>
      <c r="G499" t="s">
        <v>13</v>
      </c>
      <c r="H499">
        <v>45000</v>
      </c>
      <c r="I499" t="s">
        <v>14</v>
      </c>
      <c r="J499">
        <v>51321</v>
      </c>
      <c r="K499" t="s">
        <v>38</v>
      </c>
      <c r="L499">
        <v>0</v>
      </c>
      <c r="M499" t="s">
        <v>38</v>
      </c>
      <c r="N499" t="s">
        <v>21</v>
      </c>
      <c r="O499" t="str">
        <f>VLOOKUP(SalaryInfo[[#This Row],[company_size]],CompanySize[],2,FALSE)</f>
        <v>Small</v>
      </c>
    </row>
    <row r="500" spans="1:15">
      <c r="A500">
        <v>288</v>
      </c>
      <c r="B500">
        <v>2021</v>
      </c>
      <c r="C500" t="str">
        <f>VLOOKUP(SalaryInfo[[#This Row],[experience_level]],Experience[],2,FALSE)</f>
        <v>Intermediate</v>
      </c>
      <c r="D500" t="s">
        <v>11</v>
      </c>
      <c r="E500" t="str">
        <f>VLOOKUP(SalaryInfo[[#This Row],[employment_type]],EmpType[],2,FALSE)</f>
        <v>Full Time</v>
      </c>
      <c r="F500" t="s">
        <v>12</v>
      </c>
      <c r="G500" t="s">
        <v>28</v>
      </c>
      <c r="H500">
        <v>43200</v>
      </c>
      <c r="I500" t="s">
        <v>14</v>
      </c>
      <c r="J500">
        <v>51064</v>
      </c>
      <c r="K500" t="s">
        <v>77</v>
      </c>
      <c r="L500">
        <v>50</v>
      </c>
      <c r="M500" t="s">
        <v>77</v>
      </c>
      <c r="N500" t="s">
        <v>16</v>
      </c>
      <c r="O500" t="str">
        <f>VLOOKUP(SalaryInfo[[#This Row],[company_size]],CompanySize[],2,FALSE)</f>
        <v>Large</v>
      </c>
    </row>
    <row r="501" spans="1:15">
      <c r="A501">
        <v>42</v>
      </c>
      <c r="B501">
        <v>2020</v>
      </c>
      <c r="C501" t="str">
        <f>VLOOKUP(SalaryInfo[[#This Row],[experience_level]],Experience[],2,FALSE)</f>
        <v>Intermediate</v>
      </c>
      <c r="D501" t="s">
        <v>11</v>
      </c>
      <c r="E501" t="str">
        <f>VLOOKUP(SalaryInfo[[#This Row],[employment_type]],EmpType[],2,FALSE)</f>
        <v>Full Time</v>
      </c>
      <c r="F501" t="s">
        <v>12</v>
      </c>
      <c r="G501" t="s">
        <v>68</v>
      </c>
      <c r="H501">
        <v>44000</v>
      </c>
      <c r="I501" t="s">
        <v>14</v>
      </c>
      <c r="J501">
        <v>50180</v>
      </c>
      <c r="K501" t="s">
        <v>47</v>
      </c>
      <c r="L501">
        <v>0</v>
      </c>
      <c r="M501" t="s">
        <v>47</v>
      </c>
      <c r="N501" t="s">
        <v>25</v>
      </c>
      <c r="O501" t="str">
        <f>VLOOKUP(SalaryInfo[[#This Row],[company_size]],CompanySize[],2,FALSE)</f>
        <v>Medium</v>
      </c>
    </row>
    <row r="502" spans="1:15">
      <c r="A502">
        <v>122</v>
      </c>
      <c r="B502">
        <v>2021</v>
      </c>
      <c r="C502" t="str">
        <f>VLOOKUP(SalaryInfo[[#This Row],[experience_level]],Experience[],2,FALSE)</f>
        <v>Junior</v>
      </c>
      <c r="D502" t="s">
        <v>30</v>
      </c>
      <c r="E502" t="str">
        <f>VLOOKUP(SalaryInfo[[#This Row],[employment_type]],EmpType[],2,FALSE)</f>
        <v>Full Time</v>
      </c>
      <c r="F502" t="s">
        <v>12</v>
      </c>
      <c r="G502" t="s">
        <v>31</v>
      </c>
      <c r="H502">
        <v>50000</v>
      </c>
      <c r="I502" t="s">
        <v>19</v>
      </c>
      <c r="J502">
        <v>50000</v>
      </c>
      <c r="K502" t="s">
        <v>29</v>
      </c>
      <c r="L502">
        <v>100</v>
      </c>
      <c r="M502" t="s">
        <v>29</v>
      </c>
      <c r="N502" t="s">
        <v>25</v>
      </c>
      <c r="O502" t="str">
        <f>VLOOKUP(SalaryInfo[[#This Row],[company_size]],CompanySize[],2,FALSE)</f>
        <v>Medium</v>
      </c>
    </row>
    <row r="503" spans="1:15">
      <c r="A503">
        <v>116</v>
      </c>
      <c r="B503">
        <v>2021</v>
      </c>
      <c r="C503" t="str">
        <f>VLOOKUP(SalaryInfo[[#This Row],[experience_level]],Experience[],2,FALSE)</f>
        <v>Intermediate</v>
      </c>
      <c r="D503" t="s">
        <v>11</v>
      </c>
      <c r="E503" t="str">
        <f>VLOOKUP(SalaryInfo[[#This Row],[employment_type]],EmpType[],2,FALSE)</f>
        <v>Full Time</v>
      </c>
      <c r="F503" t="s">
        <v>12</v>
      </c>
      <c r="G503" t="s">
        <v>13</v>
      </c>
      <c r="H503">
        <v>50000</v>
      </c>
      <c r="I503" t="s">
        <v>19</v>
      </c>
      <c r="J503">
        <v>50000</v>
      </c>
      <c r="K503" t="s">
        <v>65</v>
      </c>
      <c r="L503">
        <v>100</v>
      </c>
      <c r="M503" t="s">
        <v>65</v>
      </c>
      <c r="N503" t="s">
        <v>16</v>
      </c>
      <c r="O503" t="str">
        <f>VLOOKUP(SalaryInfo[[#This Row],[company_size]],CompanySize[],2,FALSE)</f>
        <v>Large</v>
      </c>
    </row>
    <row r="504" spans="1:15">
      <c r="A504">
        <v>471</v>
      </c>
      <c r="B504">
        <v>2022</v>
      </c>
      <c r="C504" t="str">
        <f>VLOOKUP(SalaryInfo[[#This Row],[experience_level]],Experience[],2,FALSE)</f>
        <v>Intermediate</v>
      </c>
      <c r="D504" t="s">
        <v>11</v>
      </c>
      <c r="E504" t="str">
        <f>VLOOKUP(SalaryInfo[[#This Row],[employment_type]],EmpType[],2,FALSE)</f>
        <v>Full Time</v>
      </c>
      <c r="F504" t="s">
        <v>12</v>
      </c>
      <c r="G504" t="s">
        <v>31</v>
      </c>
      <c r="H504">
        <v>50000</v>
      </c>
      <c r="I504" t="s">
        <v>19</v>
      </c>
      <c r="J504">
        <v>50000</v>
      </c>
      <c r="K504" t="s">
        <v>29</v>
      </c>
      <c r="L504">
        <v>100</v>
      </c>
      <c r="M504" t="s">
        <v>29</v>
      </c>
      <c r="N504" t="s">
        <v>25</v>
      </c>
      <c r="O504" t="str">
        <f>VLOOKUP(SalaryInfo[[#This Row],[company_size]],CompanySize[],2,FALSE)</f>
        <v>Medium</v>
      </c>
    </row>
    <row r="505" spans="1:15">
      <c r="A505">
        <v>186</v>
      </c>
      <c r="B505">
        <v>2021</v>
      </c>
      <c r="C505" t="str">
        <f>VLOOKUP(SalaryInfo[[#This Row],[experience_level]],Experience[],2,FALSE)</f>
        <v>Senior</v>
      </c>
      <c r="D505" t="s">
        <v>17</v>
      </c>
      <c r="E505" t="str">
        <f>VLOOKUP(SalaryInfo[[#This Row],[employment_type]],EmpType[],2,FALSE)</f>
        <v>Full Time</v>
      </c>
      <c r="F505" t="s">
        <v>12</v>
      </c>
      <c r="G505" t="s">
        <v>83</v>
      </c>
      <c r="H505">
        <v>50000</v>
      </c>
      <c r="I505" t="s">
        <v>19</v>
      </c>
      <c r="J505">
        <v>50000</v>
      </c>
      <c r="K505" t="s">
        <v>101</v>
      </c>
      <c r="L505">
        <v>100</v>
      </c>
      <c r="M505" t="s">
        <v>24</v>
      </c>
      <c r="N505" t="s">
        <v>25</v>
      </c>
      <c r="O505" t="str">
        <f>VLOOKUP(SalaryInfo[[#This Row],[company_size]],CompanySize[],2,FALSE)</f>
        <v>Medium</v>
      </c>
    </row>
    <row r="506" spans="1:15">
      <c r="A506">
        <v>203</v>
      </c>
      <c r="B506">
        <v>2021</v>
      </c>
      <c r="C506" t="str">
        <f>VLOOKUP(SalaryInfo[[#This Row],[experience_level]],Experience[],2,FALSE)</f>
        <v>Senior</v>
      </c>
      <c r="D506" t="s">
        <v>17</v>
      </c>
      <c r="E506" t="str">
        <f>VLOOKUP(SalaryInfo[[#This Row],[employment_type]],EmpType[],2,FALSE)</f>
        <v>Full Time</v>
      </c>
      <c r="F506" t="s">
        <v>12</v>
      </c>
      <c r="G506" t="s">
        <v>55</v>
      </c>
      <c r="H506">
        <v>50000</v>
      </c>
      <c r="I506" t="s">
        <v>19</v>
      </c>
      <c r="J506">
        <v>50000</v>
      </c>
      <c r="K506" t="s">
        <v>38</v>
      </c>
      <c r="L506">
        <v>100</v>
      </c>
      <c r="M506" t="s">
        <v>29</v>
      </c>
      <c r="N506" t="s">
        <v>21</v>
      </c>
      <c r="O506" t="str">
        <f>VLOOKUP(SalaryInfo[[#This Row],[company_size]],CompanySize[],2,FALSE)</f>
        <v>Small</v>
      </c>
    </row>
    <row r="507" spans="1:15">
      <c r="A507">
        <v>131</v>
      </c>
      <c r="B507">
        <v>2021</v>
      </c>
      <c r="C507" t="str">
        <f>VLOOKUP(SalaryInfo[[#This Row],[experience_level]],Experience[],2,FALSE)</f>
        <v>Junior</v>
      </c>
      <c r="D507" t="s">
        <v>30</v>
      </c>
      <c r="E507" t="str">
        <f>VLOOKUP(SalaryInfo[[#This Row],[employment_type]],EmpType[],2,FALSE)</f>
        <v>Full Time</v>
      </c>
      <c r="F507" t="s">
        <v>12</v>
      </c>
      <c r="G507" t="s">
        <v>13</v>
      </c>
      <c r="H507">
        <v>42000</v>
      </c>
      <c r="I507" t="s">
        <v>14</v>
      </c>
      <c r="J507">
        <v>49646</v>
      </c>
      <c r="K507" t="s">
        <v>38</v>
      </c>
      <c r="L507">
        <v>50</v>
      </c>
      <c r="M507" t="s">
        <v>38</v>
      </c>
      <c r="N507" t="s">
        <v>25</v>
      </c>
      <c r="O507" t="str">
        <f>VLOOKUP(SalaryInfo[[#This Row],[company_size]],CompanySize[],2,FALSE)</f>
        <v>Medium</v>
      </c>
    </row>
    <row r="508" spans="1:15">
      <c r="A508">
        <v>413</v>
      </c>
      <c r="B508">
        <v>2022</v>
      </c>
      <c r="C508" t="str">
        <f>VLOOKUP(SalaryInfo[[#This Row],[experience_level]],Experience[],2,FALSE)</f>
        <v>Intermediate</v>
      </c>
      <c r="D508" t="s">
        <v>11</v>
      </c>
      <c r="E508" t="str">
        <f>VLOOKUP(SalaryInfo[[#This Row],[employment_type]],EmpType[],2,FALSE)</f>
        <v>Full Time</v>
      </c>
      <c r="F508" t="s">
        <v>12</v>
      </c>
      <c r="G508" t="s">
        <v>43</v>
      </c>
      <c r="H508">
        <v>45000</v>
      </c>
      <c r="I508" t="s">
        <v>14</v>
      </c>
      <c r="J508">
        <v>49461</v>
      </c>
      <c r="K508" t="s">
        <v>50</v>
      </c>
      <c r="L508">
        <v>100</v>
      </c>
      <c r="M508" t="s">
        <v>50</v>
      </c>
      <c r="N508" t="s">
        <v>25</v>
      </c>
      <c r="O508" t="str">
        <f>VLOOKUP(SalaryInfo[[#This Row],[company_size]],CompanySize[],2,FALSE)</f>
        <v>Medium</v>
      </c>
    </row>
    <row r="509" spans="1:15">
      <c r="A509">
        <v>427</v>
      </c>
      <c r="B509">
        <v>2022</v>
      </c>
      <c r="C509" t="str">
        <f>VLOOKUP(SalaryInfo[[#This Row],[experience_level]],Experience[],2,FALSE)</f>
        <v>Intermediate</v>
      </c>
      <c r="D509" t="s">
        <v>11</v>
      </c>
      <c r="E509" t="str">
        <f>VLOOKUP(SalaryInfo[[#This Row],[employment_type]],EmpType[],2,FALSE)</f>
        <v>Full Time</v>
      </c>
      <c r="F509" t="s">
        <v>12</v>
      </c>
      <c r="G509" t="s">
        <v>43</v>
      </c>
      <c r="H509">
        <v>45000</v>
      </c>
      <c r="I509" t="s">
        <v>14</v>
      </c>
      <c r="J509">
        <v>49461</v>
      </c>
      <c r="K509" t="s">
        <v>67</v>
      </c>
      <c r="L509">
        <v>100</v>
      </c>
      <c r="M509" t="s">
        <v>67</v>
      </c>
      <c r="N509" t="s">
        <v>25</v>
      </c>
      <c r="O509" t="str">
        <f>VLOOKUP(SalaryInfo[[#This Row],[company_size]],CompanySize[],2,FALSE)</f>
        <v>Medium</v>
      </c>
    </row>
    <row r="510" spans="1:15">
      <c r="A510">
        <v>66</v>
      </c>
      <c r="B510">
        <v>2020</v>
      </c>
      <c r="C510" t="str">
        <f>VLOOKUP(SalaryInfo[[#This Row],[experience_level]],Experience[],2,FALSE)</f>
        <v>Junior</v>
      </c>
      <c r="D510" t="s">
        <v>30</v>
      </c>
      <c r="E510" t="str">
        <f>VLOOKUP(SalaryInfo[[#This Row],[employment_type]],EmpType[],2,FALSE)</f>
        <v>Full Time</v>
      </c>
      <c r="F510" t="s">
        <v>12</v>
      </c>
      <c r="G510" t="s">
        <v>13</v>
      </c>
      <c r="H510">
        <v>43200</v>
      </c>
      <c r="I510" t="s">
        <v>14</v>
      </c>
      <c r="J510">
        <v>49268</v>
      </c>
      <c r="K510" t="s">
        <v>15</v>
      </c>
      <c r="L510">
        <v>0</v>
      </c>
      <c r="M510" t="s">
        <v>15</v>
      </c>
      <c r="N510" t="s">
        <v>21</v>
      </c>
      <c r="O510" t="str">
        <f>VLOOKUP(SalaryInfo[[#This Row],[company_size]],CompanySize[],2,FALSE)</f>
        <v>Small</v>
      </c>
    </row>
    <row r="511" spans="1:15">
      <c r="A511">
        <v>515</v>
      </c>
      <c r="B511">
        <v>2022</v>
      </c>
      <c r="C511" t="str">
        <f>VLOOKUP(SalaryInfo[[#This Row],[experience_level]],Experience[],2,FALSE)</f>
        <v>Intermediate</v>
      </c>
      <c r="D511" t="s">
        <v>11</v>
      </c>
      <c r="E511" t="str">
        <f>VLOOKUP(SalaryInfo[[#This Row],[employment_type]],EmpType[],2,FALSE)</f>
        <v>Full Time</v>
      </c>
      <c r="F511" t="s">
        <v>12</v>
      </c>
      <c r="G511" t="s">
        <v>13</v>
      </c>
      <c r="H511">
        <v>48000</v>
      </c>
      <c r="I511" t="s">
        <v>19</v>
      </c>
      <c r="J511">
        <v>48000</v>
      </c>
      <c r="K511" t="s">
        <v>75</v>
      </c>
      <c r="L511">
        <v>100</v>
      </c>
      <c r="M511" t="s">
        <v>29</v>
      </c>
      <c r="N511" t="s">
        <v>21</v>
      </c>
      <c r="O511" t="str">
        <f>VLOOKUP(SalaryInfo[[#This Row],[company_size]],CompanySize[],2,FALSE)</f>
        <v>Small</v>
      </c>
    </row>
    <row r="512" spans="1:15">
      <c r="A512">
        <v>22</v>
      </c>
      <c r="B512">
        <v>2020</v>
      </c>
      <c r="C512" t="str">
        <f>VLOOKUP(SalaryInfo[[#This Row],[experience_level]],Experience[],2,FALSE)</f>
        <v>Senior</v>
      </c>
      <c r="D512" t="s">
        <v>17</v>
      </c>
      <c r="E512" t="str">
        <f>VLOOKUP(SalaryInfo[[#This Row],[employment_type]],EmpType[],2,FALSE)</f>
        <v>Full Time</v>
      </c>
      <c r="F512" t="s">
        <v>12</v>
      </c>
      <c r="G512" t="s">
        <v>43</v>
      </c>
      <c r="H512">
        <v>42000</v>
      </c>
      <c r="I512" t="s">
        <v>14</v>
      </c>
      <c r="J512">
        <v>47899</v>
      </c>
      <c r="K512" t="s">
        <v>50</v>
      </c>
      <c r="L512">
        <v>50</v>
      </c>
      <c r="M512" t="s">
        <v>50</v>
      </c>
      <c r="N512" t="s">
        <v>16</v>
      </c>
      <c r="O512" t="str">
        <f>VLOOKUP(SalaryInfo[[#This Row],[company_size]],CompanySize[],2,FALSE)</f>
        <v>Large</v>
      </c>
    </row>
    <row r="513" spans="1:15">
      <c r="A513">
        <v>83</v>
      </c>
      <c r="B513">
        <v>2021</v>
      </c>
      <c r="C513" t="str">
        <f>VLOOKUP(SalaryInfo[[#This Row],[experience_level]],Experience[],2,FALSE)</f>
        <v>Intermediate</v>
      </c>
      <c r="D513" t="s">
        <v>11</v>
      </c>
      <c r="E513" t="str">
        <f>VLOOKUP(SalaryInfo[[#This Row],[employment_type]],EmpType[],2,FALSE)</f>
        <v>Full Time</v>
      </c>
      <c r="F513" t="s">
        <v>12</v>
      </c>
      <c r="G513" t="s">
        <v>28</v>
      </c>
      <c r="H513">
        <v>40000</v>
      </c>
      <c r="I513" t="s">
        <v>14</v>
      </c>
      <c r="J513">
        <v>47282</v>
      </c>
      <c r="K513" t="s">
        <v>67</v>
      </c>
      <c r="L513">
        <v>100</v>
      </c>
      <c r="M513" t="s">
        <v>67</v>
      </c>
      <c r="N513" t="s">
        <v>21</v>
      </c>
      <c r="O513" t="str">
        <f>VLOOKUP(SalaryInfo[[#This Row],[company_size]],CompanySize[],2,FALSE)</f>
        <v>Small</v>
      </c>
    </row>
    <row r="514" spans="1:15">
      <c r="A514">
        <v>237</v>
      </c>
      <c r="B514">
        <v>2021</v>
      </c>
      <c r="C514" t="str">
        <f>VLOOKUP(SalaryInfo[[#This Row],[experience_level]],Experience[],2,FALSE)</f>
        <v>Intermediate</v>
      </c>
      <c r="D514" t="s">
        <v>11</v>
      </c>
      <c r="E514" t="str">
        <f>VLOOKUP(SalaryInfo[[#This Row],[employment_type]],EmpType[],2,FALSE)</f>
        <v>Full Time</v>
      </c>
      <c r="F514" t="s">
        <v>12</v>
      </c>
      <c r="G514" t="s">
        <v>13</v>
      </c>
      <c r="H514">
        <v>39600</v>
      </c>
      <c r="I514" t="s">
        <v>14</v>
      </c>
      <c r="J514">
        <v>46809</v>
      </c>
      <c r="K514" t="s">
        <v>67</v>
      </c>
      <c r="L514">
        <v>100</v>
      </c>
      <c r="M514" t="s">
        <v>67</v>
      </c>
      <c r="N514" t="s">
        <v>25</v>
      </c>
      <c r="O514" t="str">
        <f>VLOOKUP(SalaryInfo[[#This Row],[company_size]],CompanySize[],2,FALSE)</f>
        <v>Medium</v>
      </c>
    </row>
    <row r="515" spans="1:15">
      <c r="A515">
        <v>34</v>
      </c>
      <c r="B515">
        <v>2020</v>
      </c>
      <c r="C515" t="str">
        <f>VLOOKUP(SalaryInfo[[#This Row],[experience_level]],Experience[],2,FALSE)</f>
        <v>Intermediate</v>
      </c>
      <c r="D515" t="s">
        <v>11</v>
      </c>
      <c r="E515" t="str">
        <f>VLOOKUP(SalaryInfo[[#This Row],[employment_type]],EmpType[],2,FALSE)</f>
        <v>Full Time</v>
      </c>
      <c r="F515" t="s">
        <v>12</v>
      </c>
      <c r="G515" t="s">
        <v>31</v>
      </c>
      <c r="H515">
        <v>41000</v>
      </c>
      <c r="I515" t="s">
        <v>14</v>
      </c>
      <c r="J515">
        <v>46759</v>
      </c>
      <c r="K515" t="s">
        <v>38</v>
      </c>
      <c r="L515">
        <v>50</v>
      </c>
      <c r="M515" t="s">
        <v>38</v>
      </c>
      <c r="N515" t="s">
        <v>16</v>
      </c>
      <c r="O515" t="str">
        <f>VLOOKUP(SalaryInfo[[#This Row],[company_size]],CompanySize[],2,FALSE)</f>
        <v>Large</v>
      </c>
    </row>
    <row r="516" spans="1:15">
      <c r="A516">
        <v>220</v>
      </c>
      <c r="B516">
        <v>2021</v>
      </c>
      <c r="C516" t="str">
        <f>VLOOKUP(SalaryInfo[[#This Row],[experience_level]],Experience[],2,FALSE)</f>
        <v>Intermediate</v>
      </c>
      <c r="D516" t="s">
        <v>11</v>
      </c>
      <c r="E516" t="str">
        <f>VLOOKUP(SalaryInfo[[#This Row],[employment_type]],EmpType[],2,FALSE)</f>
        <v>Full Time</v>
      </c>
      <c r="F516" t="s">
        <v>12</v>
      </c>
      <c r="G516" t="s">
        <v>28</v>
      </c>
      <c r="H516">
        <v>180000</v>
      </c>
      <c r="I516" t="s">
        <v>85</v>
      </c>
      <c r="J516">
        <v>46597</v>
      </c>
      <c r="K516" t="s">
        <v>45</v>
      </c>
      <c r="L516">
        <v>100</v>
      </c>
      <c r="M516" t="s">
        <v>45</v>
      </c>
      <c r="N516" t="s">
        <v>16</v>
      </c>
      <c r="O516" t="str">
        <f>VLOOKUP(SalaryInfo[[#This Row],[company_size]],CompanySize[],2,FALSE)</f>
        <v>Large</v>
      </c>
    </row>
    <row r="517" spans="1:15">
      <c r="A517">
        <v>52</v>
      </c>
      <c r="B517">
        <v>2020</v>
      </c>
      <c r="C517" t="str">
        <f>VLOOKUP(SalaryInfo[[#This Row],[experience_level]],Experience[],2,FALSE)</f>
        <v>Junior</v>
      </c>
      <c r="D517" t="s">
        <v>30</v>
      </c>
      <c r="E517" t="str">
        <f>VLOOKUP(SalaryInfo[[#This Row],[employment_type]],EmpType[],2,FALSE)</f>
        <v>Full Time</v>
      </c>
      <c r="F517" t="s">
        <v>12</v>
      </c>
      <c r="G517" t="s">
        <v>70</v>
      </c>
      <c r="H517">
        <v>300000</v>
      </c>
      <c r="I517" t="s">
        <v>71</v>
      </c>
      <c r="J517">
        <v>45896</v>
      </c>
      <c r="K517" t="s">
        <v>72</v>
      </c>
      <c r="L517">
        <v>50</v>
      </c>
      <c r="M517" t="s">
        <v>72</v>
      </c>
      <c r="N517" t="s">
        <v>21</v>
      </c>
      <c r="O517" t="str">
        <f>VLOOKUP(SalaryInfo[[#This Row],[company_size]],CompanySize[],2,FALSE)</f>
        <v>Small</v>
      </c>
    </row>
    <row r="518" spans="1:15">
      <c r="A518">
        <v>411</v>
      </c>
      <c r="B518">
        <v>2022</v>
      </c>
      <c r="C518" t="str">
        <f>VLOOKUP(SalaryInfo[[#This Row],[experience_level]],Experience[],2,FALSE)</f>
        <v>Intermediate</v>
      </c>
      <c r="D518" t="s">
        <v>11</v>
      </c>
      <c r="E518" t="str">
        <f>VLOOKUP(SalaryInfo[[#This Row],[employment_type]],EmpType[],2,FALSE)</f>
        <v>Full Time</v>
      </c>
      <c r="F518" t="s">
        <v>12</v>
      </c>
      <c r="G518" t="s">
        <v>13</v>
      </c>
      <c r="H518">
        <v>35000</v>
      </c>
      <c r="I518" t="s">
        <v>23</v>
      </c>
      <c r="J518">
        <v>45807</v>
      </c>
      <c r="K518" t="s">
        <v>24</v>
      </c>
      <c r="L518">
        <v>0</v>
      </c>
      <c r="M518" t="s">
        <v>24</v>
      </c>
      <c r="N518" t="s">
        <v>25</v>
      </c>
      <c r="O518" t="str">
        <f>VLOOKUP(SalaryInfo[[#This Row],[company_size]],CompanySize[],2,FALSE)</f>
        <v>Medium</v>
      </c>
    </row>
    <row r="519" spans="1:15">
      <c r="A519">
        <v>586</v>
      </c>
      <c r="B519">
        <v>2022</v>
      </c>
      <c r="C519" t="str">
        <f>VLOOKUP(SalaryInfo[[#This Row],[experience_level]],Experience[],2,FALSE)</f>
        <v>Intermediate</v>
      </c>
      <c r="D519" t="s">
        <v>11</v>
      </c>
      <c r="E519" t="str">
        <f>VLOOKUP(SalaryInfo[[#This Row],[employment_type]],EmpType[],2,FALSE)</f>
        <v>Full Time</v>
      </c>
      <c r="F519" t="s">
        <v>12</v>
      </c>
      <c r="G519" t="s">
        <v>31</v>
      </c>
      <c r="H519">
        <v>35000</v>
      </c>
      <c r="I519" t="s">
        <v>23</v>
      </c>
      <c r="J519">
        <v>45807</v>
      </c>
      <c r="K519" t="s">
        <v>24</v>
      </c>
      <c r="L519">
        <v>0</v>
      </c>
      <c r="M519" t="s">
        <v>24</v>
      </c>
      <c r="N519" t="s">
        <v>25</v>
      </c>
      <c r="O519" t="str">
        <f>VLOOKUP(SalaryInfo[[#This Row],[company_size]],CompanySize[],2,FALSE)</f>
        <v>Medium</v>
      </c>
    </row>
    <row r="520" spans="1:15">
      <c r="A520">
        <v>316</v>
      </c>
      <c r="B520">
        <v>2022</v>
      </c>
      <c r="C520" t="str">
        <f>VLOOKUP(SalaryInfo[[#This Row],[experience_level]],Experience[],2,FALSE)</f>
        <v>Junior</v>
      </c>
      <c r="D520" t="s">
        <v>30</v>
      </c>
      <c r="E520" t="str">
        <f>VLOOKUP(SalaryInfo[[#This Row],[employment_type]],EmpType[],2,FALSE)</f>
        <v>Full Time</v>
      </c>
      <c r="F520" t="s">
        <v>12</v>
      </c>
      <c r="G520" t="s">
        <v>43</v>
      </c>
      <c r="H520">
        <v>35000</v>
      </c>
      <c r="I520" t="s">
        <v>23</v>
      </c>
      <c r="J520">
        <v>45807</v>
      </c>
      <c r="K520" t="s">
        <v>24</v>
      </c>
      <c r="L520">
        <v>100</v>
      </c>
      <c r="M520" t="s">
        <v>24</v>
      </c>
      <c r="N520" t="s">
        <v>25</v>
      </c>
      <c r="O520" t="str">
        <f>VLOOKUP(SalaryInfo[[#This Row],[company_size]],CompanySize[],2,FALSE)</f>
        <v>Medium</v>
      </c>
    </row>
    <row r="521" spans="1:15">
      <c r="A521">
        <v>40</v>
      </c>
      <c r="B521">
        <v>2020</v>
      </c>
      <c r="C521" t="str">
        <f>VLOOKUP(SalaryInfo[[#This Row],[experience_level]],Experience[],2,FALSE)</f>
        <v>Intermediate</v>
      </c>
      <c r="D521" t="s">
        <v>11</v>
      </c>
      <c r="E521" t="str">
        <f>VLOOKUP(SalaryInfo[[#This Row],[employment_type]],EmpType[],2,FALSE)</f>
        <v>Full Time</v>
      </c>
      <c r="F521" t="s">
        <v>12</v>
      </c>
      <c r="G521" t="s">
        <v>13</v>
      </c>
      <c r="H521">
        <v>45760</v>
      </c>
      <c r="I521" t="s">
        <v>19</v>
      </c>
      <c r="J521">
        <v>45760</v>
      </c>
      <c r="K521" t="s">
        <v>66</v>
      </c>
      <c r="L521">
        <v>100</v>
      </c>
      <c r="M521" t="s">
        <v>29</v>
      </c>
      <c r="N521" t="s">
        <v>21</v>
      </c>
      <c r="O521" t="str">
        <f>VLOOKUP(SalaryInfo[[#This Row],[company_size]],CompanySize[],2,FALSE)</f>
        <v>Small</v>
      </c>
    </row>
    <row r="522" spans="1:15">
      <c r="A522">
        <v>64</v>
      </c>
      <c r="B522">
        <v>2020</v>
      </c>
      <c r="C522" t="str">
        <f>VLOOKUP(SalaryInfo[[#This Row],[experience_level]],Experience[],2,FALSE)</f>
        <v>Senior</v>
      </c>
      <c r="D522" t="s">
        <v>17</v>
      </c>
      <c r="E522" t="str">
        <f>VLOOKUP(SalaryInfo[[#This Row],[employment_type]],EmpType[],2,FALSE)</f>
        <v>Full Time</v>
      </c>
      <c r="F522" t="s">
        <v>12</v>
      </c>
      <c r="G522" t="s">
        <v>28</v>
      </c>
      <c r="H522">
        <v>40000</v>
      </c>
      <c r="I522" t="s">
        <v>14</v>
      </c>
      <c r="J522">
        <v>45618</v>
      </c>
      <c r="K522" t="s">
        <v>78</v>
      </c>
      <c r="L522">
        <v>100</v>
      </c>
      <c r="M522" t="s">
        <v>78</v>
      </c>
      <c r="N522" t="s">
        <v>21</v>
      </c>
      <c r="O522" t="str">
        <f>VLOOKUP(SalaryInfo[[#This Row],[company_size]],CompanySize[],2,FALSE)</f>
        <v>Small</v>
      </c>
    </row>
    <row r="523" spans="1:15">
      <c r="A523">
        <v>114</v>
      </c>
      <c r="B523">
        <v>2021</v>
      </c>
      <c r="C523" t="str">
        <f>VLOOKUP(SalaryInfo[[#This Row],[experience_level]],Experience[],2,FALSE)</f>
        <v>Intermediate</v>
      </c>
      <c r="D523" t="s">
        <v>11</v>
      </c>
      <c r="E523" t="str">
        <f>VLOOKUP(SalaryInfo[[#This Row],[employment_type]],EmpType[],2,FALSE)</f>
        <v>Full Time</v>
      </c>
      <c r="F523" t="s">
        <v>12</v>
      </c>
      <c r="G523" t="s">
        <v>43</v>
      </c>
      <c r="H523">
        <v>38400</v>
      </c>
      <c r="I523" t="s">
        <v>14</v>
      </c>
      <c r="J523">
        <v>45391</v>
      </c>
      <c r="K523" t="s">
        <v>56</v>
      </c>
      <c r="L523">
        <v>100</v>
      </c>
      <c r="M523" t="s">
        <v>56</v>
      </c>
      <c r="N523" t="s">
        <v>16</v>
      </c>
      <c r="O523" t="str">
        <f>VLOOKUP(SalaryInfo[[#This Row],[company_size]],CompanySize[],2,FALSE)</f>
        <v>Large</v>
      </c>
    </row>
    <row r="524" spans="1:15">
      <c r="A524">
        <v>430</v>
      </c>
      <c r="B524">
        <v>2022</v>
      </c>
      <c r="C524" t="str">
        <f>VLOOKUP(SalaryInfo[[#This Row],[experience_level]],Experience[],2,FALSE)</f>
        <v>Intermediate</v>
      </c>
      <c r="D524" t="s">
        <v>11</v>
      </c>
      <c r="E524" t="str">
        <f>VLOOKUP(SalaryInfo[[#This Row],[employment_type]],EmpType[],2,FALSE)</f>
        <v>Full Time</v>
      </c>
      <c r="F524" t="s">
        <v>12</v>
      </c>
      <c r="G524" t="s">
        <v>31</v>
      </c>
      <c r="H524">
        <v>40000</v>
      </c>
      <c r="I524" t="s">
        <v>14</v>
      </c>
      <c r="J524">
        <v>43966</v>
      </c>
      <c r="K524" t="s">
        <v>67</v>
      </c>
      <c r="L524">
        <v>100</v>
      </c>
      <c r="M524" t="s">
        <v>67</v>
      </c>
      <c r="N524" t="s">
        <v>25</v>
      </c>
      <c r="O524" t="str">
        <f>VLOOKUP(SalaryInfo[[#This Row],[company_size]],CompanySize[],2,FALSE)</f>
        <v>Medium</v>
      </c>
    </row>
    <row r="525" spans="1:15">
      <c r="A525">
        <v>440</v>
      </c>
      <c r="B525">
        <v>2022</v>
      </c>
      <c r="C525" t="str">
        <f>VLOOKUP(SalaryInfo[[#This Row],[experience_level]],Experience[],2,FALSE)</f>
        <v>Intermediate</v>
      </c>
      <c r="D525" t="s">
        <v>11</v>
      </c>
      <c r="E525" t="str">
        <f>VLOOKUP(SalaryInfo[[#This Row],[employment_type]],EmpType[],2,FALSE)</f>
        <v>Full Time</v>
      </c>
      <c r="F525" t="s">
        <v>12</v>
      </c>
      <c r="G525" t="s">
        <v>31</v>
      </c>
      <c r="H525">
        <v>40000</v>
      </c>
      <c r="I525" t="s">
        <v>14</v>
      </c>
      <c r="J525">
        <v>43966</v>
      </c>
      <c r="K525" t="s">
        <v>50</v>
      </c>
      <c r="L525">
        <v>100</v>
      </c>
      <c r="M525" t="s">
        <v>50</v>
      </c>
      <c r="N525" t="s">
        <v>25</v>
      </c>
      <c r="O525" t="str">
        <f>VLOOKUP(SalaryInfo[[#This Row],[company_size]],CompanySize[],2,FALSE)</f>
        <v>Medium</v>
      </c>
    </row>
    <row r="526" spans="1:15">
      <c r="A526">
        <v>20</v>
      </c>
      <c r="B526">
        <v>2020</v>
      </c>
      <c r="C526" t="str">
        <f>VLOOKUP(SalaryInfo[[#This Row],[experience_level]],Experience[],2,FALSE)</f>
        <v>Intermediate</v>
      </c>
      <c r="D526" t="s">
        <v>11</v>
      </c>
      <c r="E526" t="str">
        <f>VLOOKUP(SalaryInfo[[#This Row],[employment_type]],EmpType[],2,FALSE)</f>
        <v>Full Time</v>
      </c>
      <c r="F526" t="s">
        <v>12</v>
      </c>
      <c r="G526" t="s">
        <v>28</v>
      </c>
      <c r="H526">
        <v>299000</v>
      </c>
      <c r="I526" t="s">
        <v>48</v>
      </c>
      <c r="J526">
        <v>43331</v>
      </c>
      <c r="K526" t="s">
        <v>49</v>
      </c>
      <c r="L526">
        <v>0</v>
      </c>
      <c r="M526" t="s">
        <v>49</v>
      </c>
      <c r="N526" t="s">
        <v>25</v>
      </c>
      <c r="O526" t="str">
        <f>VLOOKUP(SalaryInfo[[#This Row],[company_size]],CompanySize[],2,FALSE)</f>
        <v>Medium</v>
      </c>
    </row>
    <row r="527" spans="1:15">
      <c r="A527">
        <v>71</v>
      </c>
      <c r="B527">
        <v>2020</v>
      </c>
      <c r="C527" t="str">
        <f>VLOOKUP(SalaryInfo[[#This Row],[experience_level]],Experience[],2,FALSE)</f>
        <v>Intermediate</v>
      </c>
      <c r="D527" t="s">
        <v>11</v>
      </c>
      <c r="E527" t="str">
        <f>VLOOKUP(SalaryInfo[[#This Row],[employment_type]],EmpType[],2,FALSE)</f>
        <v>Full Time</v>
      </c>
      <c r="F527" t="s">
        <v>12</v>
      </c>
      <c r="G527" t="s">
        <v>13</v>
      </c>
      <c r="H527">
        <v>37000</v>
      </c>
      <c r="I527" t="s">
        <v>14</v>
      </c>
      <c r="J527">
        <v>42197</v>
      </c>
      <c r="K527" t="s">
        <v>38</v>
      </c>
      <c r="L527">
        <v>50</v>
      </c>
      <c r="M527" t="s">
        <v>38</v>
      </c>
      <c r="N527" t="s">
        <v>21</v>
      </c>
      <c r="O527" t="str">
        <f>VLOOKUP(SalaryInfo[[#This Row],[company_size]],CompanySize[],2,FALSE)</f>
        <v>Small</v>
      </c>
    </row>
    <row r="528" spans="1:15">
      <c r="A528">
        <v>26</v>
      </c>
      <c r="B528">
        <v>2020</v>
      </c>
      <c r="C528" t="str">
        <f>VLOOKUP(SalaryInfo[[#This Row],[experience_level]],Experience[],2,FALSE)</f>
        <v>Junior</v>
      </c>
      <c r="D528" t="s">
        <v>30</v>
      </c>
      <c r="E528" t="str">
        <f>VLOOKUP(SalaryInfo[[#This Row],[employment_type]],EmpType[],2,FALSE)</f>
        <v>Full Time</v>
      </c>
      <c r="F528" t="s">
        <v>12</v>
      </c>
      <c r="G528" t="s">
        <v>55</v>
      </c>
      <c r="H528">
        <v>42000</v>
      </c>
      <c r="I528" t="s">
        <v>19</v>
      </c>
      <c r="J528">
        <v>42000</v>
      </c>
      <c r="K528" t="s">
        <v>56</v>
      </c>
      <c r="L528">
        <v>50</v>
      </c>
      <c r="M528" t="s">
        <v>56</v>
      </c>
      <c r="N528" t="s">
        <v>16</v>
      </c>
      <c r="O528" t="str">
        <f>VLOOKUP(SalaryInfo[[#This Row],[company_size]],CompanySize[],2,FALSE)</f>
        <v>Large</v>
      </c>
    </row>
    <row r="529" spans="1:15">
      <c r="A529">
        <v>16</v>
      </c>
      <c r="B529">
        <v>2020</v>
      </c>
      <c r="C529" t="str">
        <f>VLOOKUP(SalaryInfo[[#This Row],[experience_level]],Experience[],2,FALSE)</f>
        <v>Junior</v>
      </c>
      <c r="D529" t="s">
        <v>30</v>
      </c>
      <c r="E529" t="str">
        <f>VLOOKUP(SalaryInfo[[#This Row],[employment_type]],EmpType[],2,FALSE)</f>
        <v>Full Time</v>
      </c>
      <c r="F529" t="s">
        <v>12</v>
      </c>
      <c r="G529" t="s">
        <v>43</v>
      </c>
      <c r="H529">
        <v>4450000</v>
      </c>
      <c r="I529" t="s">
        <v>44</v>
      </c>
      <c r="J529">
        <v>41689</v>
      </c>
      <c r="K529" t="s">
        <v>20</v>
      </c>
      <c r="L529">
        <v>100</v>
      </c>
      <c r="M529" t="s">
        <v>20</v>
      </c>
      <c r="N529" t="s">
        <v>21</v>
      </c>
      <c r="O529" t="str">
        <f>VLOOKUP(SalaryInfo[[#This Row],[company_size]],CompanySize[],2,FALSE)</f>
        <v>Small</v>
      </c>
    </row>
    <row r="530" spans="1:15">
      <c r="A530">
        <v>129</v>
      </c>
      <c r="B530">
        <v>2021</v>
      </c>
      <c r="C530" t="str">
        <f>VLOOKUP(SalaryInfo[[#This Row],[experience_level]],Experience[],2,FALSE)</f>
        <v>Senior</v>
      </c>
      <c r="D530" t="s">
        <v>17</v>
      </c>
      <c r="E530" t="str">
        <f>VLOOKUP(SalaryInfo[[#This Row],[employment_type]],EmpType[],2,FALSE)</f>
        <v>Full Time</v>
      </c>
      <c r="F530" t="s">
        <v>12</v>
      </c>
      <c r="G530" t="s">
        <v>32</v>
      </c>
      <c r="H530">
        <v>3000000</v>
      </c>
      <c r="I530" t="s">
        <v>39</v>
      </c>
      <c r="J530">
        <v>40570</v>
      </c>
      <c r="K530" t="s">
        <v>40</v>
      </c>
      <c r="L530">
        <v>50</v>
      </c>
      <c r="M530" t="s">
        <v>40</v>
      </c>
      <c r="N530" t="s">
        <v>16</v>
      </c>
      <c r="O530" t="str">
        <f>VLOOKUP(SalaryInfo[[#This Row],[company_size]],CompanySize[],2,FALSE)</f>
        <v>Large</v>
      </c>
    </row>
    <row r="531" spans="1:15">
      <c r="A531">
        <v>11</v>
      </c>
      <c r="B531">
        <v>2020</v>
      </c>
      <c r="C531" t="str">
        <f>VLOOKUP(SalaryInfo[[#This Row],[experience_level]],Experience[],2,FALSE)</f>
        <v>Intermediate</v>
      </c>
      <c r="D531" t="s">
        <v>11</v>
      </c>
      <c r="E531" t="str">
        <f>VLOOKUP(SalaryInfo[[#This Row],[employment_type]],EmpType[],2,FALSE)</f>
        <v>Full Time</v>
      </c>
      <c r="F531" t="s">
        <v>12</v>
      </c>
      <c r="G531" t="s">
        <v>13</v>
      </c>
      <c r="H531">
        <v>3000000</v>
      </c>
      <c r="I531" t="s">
        <v>39</v>
      </c>
      <c r="J531">
        <v>40481</v>
      </c>
      <c r="K531" t="s">
        <v>40</v>
      </c>
      <c r="L531">
        <v>0</v>
      </c>
      <c r="M531" t="s">
        <v>40</v>
      </c>
      <c r="N531" t="s">
        <v>16</v>
      </c>
      <c r="O531" t="str">
        <f>VLOOKUP(SalaryInfo[[#This Row],[company_size]],CompanySize[],2,FALSE)</f>
        <v>Large</v>
      </c>
    </row>
    <row r="532" spans="1:15">
      <c r="A532">
        <v>117</v>
      </c>
      <c r="B532">
        <v>2021</v>
      </c>
      <c r="C532" t="str">
        <f>VLOOKUP(SalaryInfo[[#This Row],[experience_level]],Experience[],2,FALSE)</f>
        <v>Intermediate</v>
      </c>
      <c r="D532" t="s">
        <v>11</v>
      </c>
      <c r="E532" t="str">
        <f>VLOOKUP(SalaryInfo[[#This Row],[employment_type]],EmpType[],2,FALSE)</f>
        <v>Full Time</v>
      </c>
      <c r="F532" t="s">
        <v>12</v>
      </c>
      <c r="G532" t="s">
        <v>95</v>
      </c>
      <c r="H532">
        <v>34000</v>
      </c>
      <c r="I532" t="s">
        <v>14</v>
      </c>
      <c r="J532">
        <v>40189</v>
      </c>
      <c r="K532" t="s">
        <v>50</v>
      </c>
      <c r="L532">
        <v>100</v>
      </c>
      <c r="M532" t="s">
        <v>50</v>
      </c>
      <c r="N532" t="s">
        <v>25</v>
      </c>
      <c r="O532" t="str">
        <f>VLOOKUP(SalaryInfo[[#This Row],[company_size]],CompanySize[],2,FALSE)</f>
        <v>Medium</v>
      </c>
    </row>
    <row r="533" spans="1:15">
      <c r="A533">
        <v>177</v>
      </c>
      <c r="B533">
        <v>2021</v>
      </c>
      <c r="C533" t="str">
        <f>VLOOKUP(SalaryInfo[[#This Row],[experience_level]],Experience[],2,FALSE)</f>
        <v>Intermediate</v>
      </c>
      <c r="D533" t="s">
        <v>11</v>
      </c>
      <c r="E533" t="str">
        <f>VLOOKUP(SalaryInfo[[#This Row],[employment_type]],EmpType[],2,FALSE)</f>
        <v>Full Time</v>
      </c>
      <c r="F533" t="s">
        <v>12</v>
      </c>
      <c r="G533" t="s">
        <v>13</v>
      </c>
      <c r="H533">
        <v>30400000</v>
      </c>
      <c r="I533" t="s">
        <v>110</v>
      </c>
      <c r="J533">
        <v>40038</v>
      </c>
      <c r="K533" t="s">
        <v>111</v>
      </c>
      <c r="L533">
        <v>100</v>
      </c>
      <c r="M533" t="s">
        <v>111</v>
      </c>
      <c r="N533" t="s">
        <v>16</v>
      </c>
      <c r="O533" t="str">
        <f>VLOOKUP(SalaryInfo[[#This Row],[company_size]],CompanySize[],2,FALSE)</f>
        <v>Large</v>
      </c>
    </row>
    <row r="534" spans="1:15">
      <c r="A534">
        <v>502</v>
      </c>
      <c r="B534">
        <v>2022</v>
      </c>
      <c r="C534" t="str">
        <f>VLOOKUP(SalaryInfo[[#This Row],[experience_level]],Experience[],2,FALSE)</f>
        <v>Junior</v>
      </c>
      <c r="D534" t="s">
        <v>30</v>
      </c>
      <c r="E534" t="str">
        <f>VLOOKUP(SalaryInfo[[#This Row],[employment_type]],EmpType[],2,FALSE)</f>
        <v>Full Time</v>
      </c>
      <c r="F534" t="s">
        <v>12</v>
      </c>
      <c r="G534" t="s">
        <v>13</v>
      </c>
      <c r="H534">
        <v>40000</v>
      </c>
      <c r="I534" t="s">
        <v>19</v>
      </c>
      <c r="J534">
        <v>40000</v>
      </c>
      <c r="K534" t="s">
        <v>20</v>
      </c>
      <c r="L534">
        <v>100</v>
      </c>
      <c r="M534" t="s">
        <v>139</v>
      </c>
      <c r="N534" t="s">
        <v>16</v>
      </c>
      <c r="O534" t="str">
        <f>VLOOKUP(SalaryInfo[[#This Row],[company_size]],CompanySize[],2,FALSE)</f>
        <v>Large</v>
      </c>
    </row>
    <row r="535" spans="1:15">
      <c r="A535">
        <v>12</v>
      </c>
      <c r="B535">
        <v>2020</v>
      </c>
      <c r="C535" t="str">
        <f>VLOOKUP(SalaryInfo[[#This Row],[experience_level]],Experience[],2,FALSE)</f>
        <v>Junior</v>
      </c>
      <c r="D535" t="s">
        <v>30</v>
      </c>
      <c r="E535" t="str">
        <f>VLOOKUP(SalaryInfo[[#This Row],[employment_type]],EmpType[],2,FALSE)</f>
        <v>Full Time</v>
      </c>
      <c r="F535" t="s">
        <v>12</v>
      </c>
      <c r="G535" t="s">
        <v>13</v>
      </c>
      <c r="H535">
        <v>35000</v>
      </c>
      <c r="I535" t="s">
        <v>14</v>
      </c>
      <c r="J535">
        <v>39916</v>
      </c>
      <c r="K535" t="s">
        <v>38</v>
      </c>
      <c r="L535">
        <v>0</v>
      </c>
      <c r="M535" t="s">
        <v>38</v>
      </c>
      <c r="N535" t="s">
        <v>25</v>
      </c>
      <c r="O535" t="str">
        <f>VLOOKUP(SalaryInfo[[#This Row],[company_size]],CompanySize[],2,FALSE)</f>
        <v>Medium</v>
      </c>
    </row>
    <row r="536" spans="1:15">
      <c r="A536">
        <v>312</v>
      </c>
      <c r="B536">
        <v>2022</v>
      </c>
      <c r="C536" t="str">
        <f>VLOOKUP(SalaryInfo[[#This Row],[experience_level]],Experience[],2,FALSE)</f>
        <v>Intermediate</v>
      </c>
      <c r="D536" t="s">
        <v>11</v>
      </c>
      <c r="E536" t="str">
        <f>VLOOKUP(SalaryInfo[[#This Row],[employment_type]],EmpType[],2,FALSE)</f>
        <v>Full Time</v>
      </c>
      <c r="F536" t="s">
        <v>12</v>
      </c>
      <c r="G536" t="s">
        <v>13</v>
      </c>
      <c r="H536">
        <v>30000</v>
      </c>
      <c r="I536" t="s">
        <v>23</v>
      </c>
      <c r="J536">
        <v>39263</v>
      </c>
      <c r="K536" t="s">
        <v>24</v>
      </c>
      <c r="L536">
        <v>0</v>
      </c>
      <c r="M536" t="s">
        <v>24</v>
      </c>
      <c r="N536" t="s">
        <v>25</v>
      </c>
      <c r="O536" t="str">
        <f>VLOOKUP(SalaryInfo[[#This Row],[company_size]],CompanySize[],2,FALSE)</f>
        <v>Medium</v>
      </c>
    </row>
    <row r="537" spans="1:15">
      <c r="A537">
        <v>429</v>
      </c>
      <c r="B537">
        <v>2022</v>
      </c>
      <c r="C537" t="str">
        <f>VLOOKUP(SalaryInfo[[#This Row],[experience_level]],Experience[],2,FALSE)</f>
        <v>Intermediate</v>
      </c>
      <c r="D537" t="s">
        <v>11</v>
      </c>
      <c r="E537" t="str">
        <f>VLOOKUP(SalaryInfo[[#This Row],[employment_type]],EmpType[],2,FALSE)</f>
        <v>Full Time</v>
      </c>
      <c r="F537" t="s">
        <v>12</v>
      </c>
      <c r="G537" t="s">
        <v>31</v>
      </c>
      <c r="H537">
        <v>30000</v>
      </c>
      <c r="I537" t="s">
        <v>23</v>
      </c>
      <c r="J537">
        <v>39263</v>
      </c>
      <c r="K537" t="s">
        <v>24</v>
      </c>
      <c r="L537">
        <v>100</v>
      </c>
      <c r="M537" t="s">
        <v>24</v>
      </c>
      <c r="N537" t="s">
        <v>25</v>
      </c>
      <c r="O537" t="str">
        <f>VLOOKUP(SalaryInfo[[#This Row],[company_size]],CompanySize[],2,FALSE)</f>
        <v>Medium</v>
      </c>
    </row>
    <row r="538" spans="1:15">
      <c r="A538">
        <v>56</v>
      </c>
      <c r="B538">
        <v>2020</v>
      </c>
      <c r="C538" t="str">
        <f>VLOOKUP(SalaryInfo[[#This Row],[experience_level]],Experience[],2,FALSE)</f>
        <v>Intermediate</v>
      </c>
      <c r="D538" t="s">
        <v>11</v>
      </c>
      <c r="E538" t="str">
        <f>VLOOKUP(SalaryInfo[[#This Row],[employment_type]],EmpType[],2,FALSE)</f>
        <v>Full Time</v>
      </c>
      <c r="F538" t="s">
        <v>12</v>
      </c>
      <c r="G538" t="s">
        <v>13</v>
      </c>
      <c r="H538">
        <v>34000</v>
      </c>
      <c r="I538" t="s">
        <v>14</v>
      </c>
      <c r="J538">
        <v>38776</v>
      </c>
      <c r="K538" t="s">
        <v>67</v>
      </c>
      <c r="L538">
        <v>100</v>
      </c>
      <c r="M538" t="s">
        <v>67</v>
      </c>
      <c r="N538" t="s">
        <v>25</v>
      </c>
      <c r="O538" t="str">
        <f>VLOOKUP(SalaryInfo[[#This Row],[company_size]],CompanySize[],2,FALSE)</f>
        <v>Medium</v>
      </c>
    </row>
    <row r="539" spans="1:15">
      <c r="A539">
        <v>132</v>
      </c>
      <c r="B539">
        <v>2021</v>
      </c>
      <c r="C539" t="str">
        <f>VLOOKUP(SalaryInfo[[#This Row],[experience_level]],Experience[],2,FALSE)</f>
        <v>Intermediate</v>
      </c>
      <c r="D539" t="s">
        <v>11</v>
      </c>
      <c r="E539" t="str">
        <f>VLOOKUP(SalaryInfo[[#This Row],[employment_type]],EmpType[],2,FALSE)</f>
        <v>Full Time</v>
      </c>
      <c r="F539" t="s">
        <v>12</v>
      </c>
      <c r="G539" t="s">
        <v>100</v>
      </c>
      <c r="H539">
        <v>38400</v>
      </c>
      <c r="I539" t="s">
        <v>19</v>
      </c>
      <c r="J539">
        <v>38400</v>
      </c>
      <c r="K539" t="s">
        <v>101</v>
      </c>
      <c r="L539">
        <v>100</v>
      </c>
      <c r="M539" t="s">
        <v>29</v>
      </c>
      <c r="N539" t="s">
        <v>25</v>
      </c>
      <c r="O539" t="str">
        <f>VLOOKUP(SalaryInfo[[#This Row],[company_size]],CompanySize[],2,FALSE)</f>
        <v>Medium</v>
      </c>
    </row>
    <row r="540" spans="1:15">
      <c r="A540">
        <v>202</v>
      </c>
      <c r="B540">
        <v>2021</v>
      </c>
      <c r="C540" t="str">
        <f>VLOOKUP(SalaryInfo[[#This Row],[experience_level]],Experience[],2,FALSE)</f>
        <v>Intermediate</v>
      </c>
      <c r="D540" t="s">
        <v>11</v>
      </c>
      <c r="E540" t="str">
        <f>VLOOKUP(SalaryInfo[[#This Row],[employment_type]],EmpType[],2,FALSE)</f>
        <v>Full Time</v>
      </c>
      <c r="F540" t="s">
        <v>12</v>
      </c>
      <c r="G540" t="s">
        <v>13</v>
      </c>
      <c r="H540">
        <v>32000</v>
      </c>
      <c r="I540" t="s">
        <v>14</v>
      </c>
      <c r="J540">
        <v>37825</v>
      </c>
      <c r="K540" t="s">
        <v>67</v>
      </c>
      <c r="L540">
        <v>100</v>
      </c>
      <c r="M540" t="s">
        <v>67</v>
      </c>
      <c r="N540" t="s">
        <v>16</v>
      </c>
      <c r="O540" t="str">
        <f>VLOOKUP(SalaryInfo[[#This Row],[company_size]],CompanySize[],2,FALSE)</f>
        <v>Large</v>
      </c>
    </row>
    <row r="541" spans="1:15">
      <c r="A541">
        <v>386</v>
      </c>
      <c r="B541">
        <v>2022</v>
      </c>
      <c r="C541" t="str">
        <f>VLOOKUP(SalaryInfo[[#This Row],[experience_level]],Experience[],2,FALSE)</f>
        <v>Junior</v>
      </c>
      <c r="D541" t="s">
        <v>30</v>
      </c>
      <c r="E541" t="str">
        <f>VLOOKUP(SalaryInfo[[#This Row],[employment_type]],EmpType[],2,FALSE)</f>
        <v>Full Time</v>
      </c>
      <c r="F541" t="s">
        <v>12</v>
      </c>
      <c r="G541" t="s">
        <v>28</v>
      </c>
      <c r="H541">
        <v>28500</v>
      </c>
      <c r="I541" t="s">
        <v>23</v>
      </c>
      <c r="J541">
        <v>37300</v>
      </c>
      <c r="K541" t="s">
        <v>24</v>
      </c>
      <c r="L541">
        <v>100</v>
      </c>
      <c r="M541" t="s">
        <v>24</v>
      </c>
      <c r="N541" t="s">
        <v>16</v>
      </c>
      <c r="O541" t="str">
        <f>VLOOKUP(SalaryInfo[[#This Row],[company_size]],CompanySize[],2,FALSE)</f>
        <v>Large</v>
      </c>
    </row>
    <row r="542" spans="1:15">
      <c r="A542">
        <v>455</v>
      </c>
      <c r="B542">
        <v>2022</v>
      </c>
      <c r="C542" t="str">
        <f>VLOOKUP(SalaryInfo[[#This Row],[experience_level]],Experience[],2,FALSE)</f>
        <v>Intermediate</v>
      </c>
      <c r="D542" t="s">
        <v>11</v>
      </c>
      <c r="E542" t="str">
        <f>VLOOKUP(SalaryInfo[[#This Row],[employment_type]],EmpType[],2,FALSE)</f>
        <v>Full Time</v>
      </c>
      <c r="F542" t="s">
        <v>12</v>
      </c>
      <c r="G542" t="s">
        <v>135</v>
      </c>
      <c r="H542">
        <v>240000</v>
      </c>
      <c r="I542" t="s">
        <v>48</v>
      </c>
      <c r="J542">
        <v>37236</v>
      </c>
      <c r="K542" t="s">
        <v>29</v>
      </c>
      <c r="L542">
        <v>50</v>
      </c>
      <c r="M542" t="s">
        <v>29</v>
      </c>
      <c r="N542" t="s">
        <v>16</v>
      </c>
      <c r="O542" t="str">
        <f>VLOOKUP(SalaryInfo[[#This Row],[company_size]],CompanySize[],2,FALSE)</f>
        <v>Large</v>
      </c>
    </row>
    <row r="543" spans="1:15">
      <c r="A543">
        <v>246</v>
      </c>
      <c r="B543">
        <v>2021</v>
      </c>
      <c r="C543" t="str">
        <f>VLOOKUP(SalaryInfo[[#This Row],[experience_level]],Experience[],2,FALSE)</f>
        <v>Junior</v>
      </c>
      <c r="D543" t="s">
        <v>30</v>
      </c>
      <c r="E543" t="str">
        <f>VLOOKUP(SalaryInfo[[#This Row],[employment_type]],EmpType[],2,FALSE)</f>
        <v>Full Time</v>
      </c>
      <c r="F543" t="s">
        <v>12</v>
      </c>
      <c r="G543" t="s">
        <v>13</v>
      </c>
      <c r="H543">
        <v>31000</v>
      </c>
      <c r="I543" t="s">
        <v>14</v>
      </c>
      <c r="J543">
        <v>36643</v>
      </c>
      <c r="K543" t="s">
        <v>38</v>
      </c>
      <c r="L543">
        <v>50</v>
      </c>
      <c r="M543" t="s">
        <v>38</v>
      </c>
      <c r="N543" t="s">
        <v>16</v>
      </c>
      <c r="O543" t="str">
        <f>VLOOKUP(SalaryInfo[[#This Row],[company_size]],CompanySize[],2,FALSE)</f>
        <v>Large</v>
      </c>
    </row>
    <row r="544" spans="1:15">
      <c r="A544">
        <v>102</v>
      </c>
      <c r="B544">
        <v>2021</v>
      </c>
      <c r="C544" t="str">
        <f>VLOOKUP(SalaryInfo[[#This Row],[experience_level]],Experience[],2,FALSE)</f>
        <v>Intermediate</v>
      </c>
      <c r="D544" t="s">
        <v>11</v>
      </c>
      <c r="E544" t="str">
        <f>VLOOKUP(SalaryInfo[[#This Row],[employment_type]],EmpType[],2,FALSE)</f>
        <v>Full Time</v>
      </c>
      <c r="F544" t="s">
        <v>12</v>
      </c>
      <c r="G544" t="s">
        <v>51</v>
      </c>
      <c r="H544">
        <v>11000000</v>
      </c>
      <c r="I544" t="s">
        <v>33</v>
      </c>
      <c r="J544">
        <v>36259</v>
      </c>
      <c r="K544" t="s">
        <v>34</v>
      </c>
      <c r="L544">
        <v>50</v>
      </c>
      <c r="M544" t="s">
        <v>29</v>
      </c>
      <c r="N544" t="s">
        <v>16</v>
      </c>
      <c r="O544" t="str">
        <f>VLOOKUP(SalaryInfo[[#This Row],[company_size]],CompanySize[],2,FALSE)</f>
        <v>Large</v>
      </c>
    </row>
    <row r="545" spans="1:15">
      <c r="A545">
        <v>7</v>
      </c>
      <c r="B545">
        <v>2020</v>
      </c>
      <c r="C545" t="str">
        <f>VLOOKUP(SalaryInfo[[#This Row],[experience_level]],Experience[],2,FALSE)</f>
        <v>Intermediate</v>
      </c>
      <c r="D545" t="s">
        <v>11</v>
      </c>
      <c r="E545" t="str">
        <f>VLOOKUP(SalaryInfo[[#This Row],[employment_type]],EmpType[],2,FALSE)</f>
        <v>Full Time</v>
      </c>
      <c r="F545" t="s">
        <v>12</v>
      </c>
      <c r="G545" t="s">
        <v>13</v>
      </c>
      <c r="H545">
        <v>11000000</v>
      </c>
      <c r="I545" t="s">
        <v>33</v>
      </c>
      <c r="J545">
        <v>35735</v>
      </c>
      <c r="K545" t="s">
        <v>34</v>
      </c>
      <c r="L545">
        <v>50</v>
      </c>
      <c r="M545" t="s">
        <v>34</v>
      </c>
      <c r="N545" t="s">
        <v>16</v>
      </c>
      <c r="O545" t="str">
        <f>VLOOKUP(SalaryInfo[[#This Row],[company_size]],CompanySize[],2,FALSE)</f>
        <v>Large</v>
      </c>
    </row>
    <row r="546" spans="1:15">
      <c r="A546">
        <v>492</v>
      </c>
      <c r="B546">
        <v>2022</v>
      </c>
      <c r="C546" t="str">
        <f>VLOOKUP(SalaryInfo[[#This Row],[experience_level]],Experience[],2,FALSE)</f>
        <v>Intermediate</v>
      </c>
      <c r="D546" t="s">
        <v>11</v>
      </c>
      <c r="E546" t="str">
        <f>VLOOKUP(SalaryInfo[[#This Row],[employment_type]],EmpType[],2,FALSE)</f>
        <v>Full Time</v>
      </c>
      <c r="F546" t="s">
        <v>12</v>
      </c>
      <c r="G546" t="s">
        <v>13</v>
      </c>
      <c r="H546">
        <v>150000</v>
      </c>
      <c r="I546" t="s">
        <v>85</v>
      </c>
      <c r="J546">
        <v>35590</v>
      </c>
      <c r="K546" t="s">
        <v>45</v>
      </c>
      <c r="L546">
        <v>100</v>
      </c>
      <c r="M546" t="s">
        <v>45</v>
      </c>
      <c r="N546" t="s">
        <v>16</v>
      </c>
      <c r="O546" t="str">
        <f>VLOOKUP(SalaryInfo[[#This Row],[company_size]],CompanySize[],2,FALSE)</f>
        <v>Large</v>
      </c>
    </row>
    <row r="547" spans="1:15">
      <c r="A547">
        <v>222</v>
      </c>
      <c r="B547">
        <v>2021</v>
      </c>
      <c r="C547" t="str">
        <f>VLOOKUP(SalaryInfo[[#This Row],[experience_level]],Experience[],2,FALSE)</f>
        <v>Intermediate</v>
      </c>
      <c r="D547" t="s">
        <v>11</v>
      </c>
      <c r="E547" t="str">
        <f>VLOOKUP(SalaryInfo[[#This Row],[employment_type]],EmpType[],2,FALSE)</f>
        <v>Full Time</v>
      </c>
      <c r="F547" t="s">
        <v>12</v>
      </c>
      <c r="G547" t="s">
        <v>13</v>
      </c>
      <c r="H547">
        <v>2500000</v>
      </c>
      <c r="I547" t="s">
        <v>39</v>
      </c>
      <c r="J547">
        <v>33808</v>
      </c>
      <c r="K547" t="s">
        <v>40</v>
      </c>
      <c r="L547">
        <v>0</v>
      </c>
      <c r="M547" t="s">
        <v>40</v>
      </c>
      <c r="N547" t="s">
        <v>25</v>
      </c>
      <c r="O547" t="str">
        <f>VLOOKUP(SalaryInfo[[#This Row],[company_size]],CompanySize[],2,FALSE)</f>
        <v>Medium</v>
      </c>
    </row>
    <row r="548" spans="1:15">
      <c r="A548">
        <v>27</v>
      </c>
      <c r="B548">
        <v>2020</v>
      </c>
      <c r="C548" t="str">
        <f>VLOOKUP(SalaryInfo[[#This Row],[experience_level]],Experience[],2,FALSE)</f>
        <v>Senior</v>
      </c>
      <c r="D548" t="s">
        <v>17</v>
      </c>
      <c r="E548" t="str">
        <f>VLOOKUP(SalaryInfo[[#This Row],[employment_type]],EmpType[],2,FALSE)</f>
        <v>Full Time</v>
      </c>
      <c r="F548" t="s">
        <v>12</v>
      </c>
      <c r="G548" t="s">
        <v>43</v>
      </c>
      <c r="H548">
        <v>720000</v>
      </c>
      <c r="I548" t="s">
        <v>57</v>
      </c>
      <c r="J548">
        <v>33511</v>
      </c>
      <c r="K548" t="s">
        <v>58</v>
      </c>
      <c r="L548">
        <v>0</v>
      </c>
      <c r="M548" t="s">
        <v>58</v>
      </c>
      <c r="N548" t="s">
        <v>21</v>
      </c>
      <c r="O548" t="str">
        <f>VLOOKUP(SalaryInfo[[#This Row],[company_size]],CompanySize[],2,FALSE)</f>
        <v>Small</v>
      </c>
    </row>
    <row r="549" spans="1:15">
      <c r="A549">
        <v>431</v>
      </c>
      <c r="B549">
        <v>2022</v>
      </c>
      <c r="C549" t="str">
        <f>VLOOKUP(SalaryInfo[[#This Row],[experience_level]],Experience[],2,FALSE)</f>
        <v>Intermediate</v>
      </c>
      <c r="D549" t="s">
        <v>11</v>
      </c>
      <c r="E549" t="str">
        <f>VLOOKUP(SalaryInfo[[#This Row],[employment_type]],EmpType[],2,FALSE)</f>
        <v>Full Time</v>
      </c>
      <c r="F549" t="s">
        <v>12</v>
      </c>
      <c r="G549" t="s">
        <v>31</v>
      </c>
      <c r="H549">
        <v>30000</v>
      </c>
      <c r="I549" t="s">
        <v>14</v>
      </c>
      <c r="J549">
        <v>32974</v>
      </c>
      <c r="K549" t="s">
        <v>67</v>
      </c>
      <c r="L549">
        <v>100</v>
      </c>
      <c r="M549" t="s">
        <v>67</v>
      </c>
      <c r="N549" t="s">
        <v>25</v>
      </c>
      <c r="O549" t="str">
        <f>VLOOKUP(SalaryInfo[[#This Row],[company_size]],CompanySize[],2,FALSE)</f>
        <v>Medium</v>
      </c>
    </row>
    <row r="550" spans="1:15">
      <c r="A550">
        <v>441</v>
      </c>
      <c r="B550">
        <v>2022</v>
      </c>
      <c r="C550" t="str">
        <f>VLOOKUP(SalaryInfo[[#This Row],[experience_level]],Experience[],2,FALSE)</f>
        <v>Intermediate</v>
      </c>
      <c r="D550" t="s">
        <v>11</v>
      </c>
      <c r="E550" t="str">
        <f>VLOOKUP(SalaryInfo[[#This Row],[employment_type]],EmpType[],2,FALSE)</f>
        <v>Full Time</v>
      </c>
      <c r="F550" t="s">
        <v>12</v>
      </c>
      <c r="G550" t="s">
        <v>31</v>
      </c>
      <c r="H550">
        <v>30000</v>
      </c>
      <c r="I550" t="s">
        <v>14</v>
      </c>
      <c r="J550">
        <v>32974</v>
      </c>
      <c r="K550" t="s">
        <v>50</v>
      </c>
      <c r="L550">
        <v>100</v>
      </c>
      <c r="M550" t="s">
        <v>50</v>
      </c>
      <c r="N550" t="s">
        <v>25</v>
      </c>
      <c r="O550" t="str">
        <f>VLOOKUP(SalaryInfo[[#This Row],[company_size]],CompanySize[],2,FALSE)</f>
        <v>Medium</v>
      </c>
    </row>
    <row r="551" spans="1:15">
      <c r="A551">
        <v>501</v>
      </c>
      <c r="B551">
        <v>2022</v>
      </c>
      <c r="C551" t="str">
        <f>VLOOKUP(SalaryInfo[[#This Row],[experience_level]],Experience[],2,FALSE)</f>
        <v>Intermediate</v>
      </c>
      <c r="D551" t="s">
        <v>11</v>
      </c>
      <c r="E551" t="str">
        <f>VLOOKUP(SalaryInfo[[#This Row],[employment_type]],EmpType[],2,FALSE)</f>
        <v>Full Time</v>
      </c>
      <c r="F551" t="s">
        <v>12</v>
      </c>
      <c r="G551" t="s">
        <v>81</v>
      </c>
      <c r="H551">
        <v>30000</v>
      </c>
      <c r="I551" t="s">
        <v>14</v>
      </c>
      <c r="J551">
        <v>32974</v>
      </c>
      <c r="K551" t="s">
        <v>140</v>
      </c>
      <c r="L551">
        <v>100</v>
      </c>
      <c r="M551" t="s">
        <v>140</v>
      </c>
      <c r="N551" t="s">
        <v>21</v>
      </c>
      <c r="O551" t="str">
        <f>VLOOKUP(SalaryInfo[[#This Row],[company_size]],CompanySize[],2,FALSE)</f>
        <v>Small</v>
      </c>
    </row>
    <row r="552" spans="1:15">
      <c r="A552">
        <v>489</v>
      </c>
      <c r="B552">
        <v>2022</v>
      </c>
      <c r="C552" t="str">
        <f>VLOOKUP(SalaryInfo[[#This Row],[experience_level]],Experience[],2,FALSE)</f>
        <v>Junior</v>
      </c>
      <c r="D552" t="s">
        <v>30</v>
      </c>
      <c r="E552" t="str">
        <f>VLOOKUP(SalaryInfo[[#This Row],[employment_type]],EmpType[],2,FALSE)</f>
        <v>Contract</v>
      </c>
      <c r="F552" t="s">
        <v>59</v>
      </c>
      <c r="G552" t="s">
        <v>100</v>
      </c>
      <c r="H552">
        <v>29000</v>
      </c>
      <c r="I552" t="s">
        <v>14</v>
      </c>
      <c r="J552">
        <v>31875</v>
      </c>
      <c r="K552" t="s">
        <v>138</v>
      </c>
      <c r="L552">
        <v>100</v>
      </c>
      <c r="M552" t="s">
        <v>130</v>
      </c>
      <c r="N552" t="s">
        <v>25</v>
      </c>
      <c r="O552" t="str">
        <f>VLOOKUP(SalaryInfo[[#This Row],[company_size]],CompanySize[],2,FALSE)</f>
        <v>Medium</v>
      </c>
    </row>
    <row r="553" spans="1:15">
      <c r="A553">
        <v>459</v>
      </c>
      <c r="B553">
        <v>2022</v>
      </c>
      <c r="C553" t="str">
        <f>VLOOKUP(SalaryInfo[[#This Row],[experience_level]],Experience[],2,FALSE)</f>
        <v>Intermediate</v>
      </c>
      <c r="D553" t="s">
        <v>11</v>
      </c>
      <c r="E553" t="str">
        <f>VLOOKUP(SalaryInfo[[#This Row],[employment_type]],EmpType[],2,FALSE)</f>
        <v>Full Time</v>
      </c>
      <c r="F553" t="s">
        <v>12</v>
      </c>
      <c r="G553" t="s">
        <v>13</v>
      </c>
      <c r="H553">
        <v>2400000</v>
      </c>
      <c r="I553" t="s">
        <v>39</v>
      </c>
      <c r="J553">
        <v>31615</v>
      </c>
      <c r="K553" t="s">
        <v>40</v>
      </c>
      <c r="L553">
        <v>100</v>
      </c>
      <c r="M553" t="s">
        <v>40</v>
      </c>
      <c r="N553" t="s">
        <v>16</v>
      </c>
      <c r="O553" t="str">
        <f>VLOOKUP(SalaryInfo[[#This Row],[company_size]],CompanySize[],2,FALSE)</f>
        <v>Large</v>
      </c>
    </row>
    <row r="554" spans="1:15">
      <c r="A554">
        <v>109</v>
      </c>
      <c r="B554">
        <v>2021</v>
      </c>
      <c r="C554" t="str">
        <f>VLOOKUP(SalaryInfo[[#This Row],[experience_level]],Experience[],2,FALSE)</f>
        <v>Junior</v>
      </c>
      <c r="D554" t="s">
        <v>30</v>
      </c>
      <c r="E554" t="str">
        <f>VLOOKUP(SalaryInfo[[#This Row],[employment_type]],EmpType[],2,FALSE)</f>
        <v>Full Time</v>
      </c>
      <c r="F554" t="s">
        <v>12</v>
      </c>
      <c r="G554" t="s">
        <v>43</v>
      </c>
      <c r="H554">
        <v>2250000</v>
      </c>
      <c r="I554" t="s">
        <v>39</v>
      </c>
      <c r="J554">
        <v>30428</v>
      </c>
      <c r="K554" t="s">
        <v>40</v>
      </c>
      <c r="L554">
        <v>100</v>
      </c>
      <c r="M554" t="s">
        <v>40</v>
      </c>
      <c r="N554" t="s">
        <v>16</v>
      </c>
      <c r="O554" t="str">
        <f>VLOOKUP(SalaryInfo[[#This Row],[company_size]],CompanySize[],2,FALSE)</f>
        <v>Large</v>
      </c>
    </row>
    <row r="555" spans="1:15">
      <c r="A555">
        <v>94</v>
      </c>
      <c r="B555">
        <v>2021</v>
      </c>
      <c r="C555" t="str">
        <f>VLOOKUP(SalaryInfo[[#This Row],[experience_level]],Experience[],2,FALSE)</f>
        <v>Junior</v>
      </c>
      <c r="D555" t="s">
        <v>30</v>
      </c>
      <c r="E555" t="str">
        <f>VLOOKUP(SalaryInfo[[#This Row],[employment_type]],EmpType[],2,FALSE)</f>
        <v>Full Time</v>
      </c>
      <c r="F555" t="s">
        <v>12</v>
      </c>
      <c r="G555" t="s">
        <v>13</v>
      </c>
      <c r="H555">
        <v>2200000</v>
      </c>
      <c r="I555" t="s">
        <v>39</v>
      </c>
      <c r="J555">
        <v>29751</v>
      </c>
      <c r="K555" t="s">
        <v>40</v>
      </c>
      <c r="L555">
        <v>50</v>
      </c>
      <c r="M555" t="s">
        <v>40</v>
      </c>
      <c r="N555" t="s">
        <v>16</v>
      </c>
      <c r="O555" t="str">
        <f>VLOOKUP(SalaryInfo[[#This Row],[company_size]],CompanySize[],2,FALSE)</f>
        <v>Large</v>
      </c>
    </row>
    <row r="556" spans="1:15">
      <c r="A556">
        <v>216</v>
      </c>
      <c r="B556">
        <v>2021</v>
      </c>
      <c r="C556" t="str">
        <f>VLOOKUP(SalaryInfo[[#This Row],[experience_level]],Experience[],2,FALSE)</f>
        <v>Junior</v>
      </c>
      <c r="D556" t="s">
        <v>30</v>
      </c>
      <c r="E556" t="str">
        <f>VLOOKUP(SalaryInfo[[#This Row],[employment_type]],EmpType[],2,FALSE)</f>
        <v>Part Time</v>
      </c>
      <c r="F556" t="s">
        <v>47</v>
      </c>
      <c r="G556" t="s">
        <v>74</v>
      </c>
      <c r="H556">
        <v>180000</v>
      </c>
      <c r="I556" t="s">
        <v>71</v>
      </c>
      <c r="J556">
        <v>28609</v>
      </c>
      <c r="K556" t="s">
        <v>72</v>
      </c>
      <c r="L556">
        <v>50</v>
      </c>
      <c r="M556" t="s">
        <v>72</v>
      </c>
      <c r="N556" t="s">
        <v>21</v>
      </c>
      <c r="O556" t="str">
        <f>VLOOKUP(SalaryInfo[[#This Row],[company_size]],CompanySize[],2,FALSE)</f>
        <v>Small</v>
      </c>
    </row>
    <row r="557" spans="1:15">
      <c r="A557">
        <v>85</v>
      </c>
      <c r="B557">
        <v>2021</v>
      </c>
      <c r="C557" t="str">
        <f>VLOOKUP(SalaryInfo[[#This Row],[experience_level]],Experience[],2,FALSE)</f>
        <v>Intermediate</v>
      </c>
      <c r="D557" t="s">
        <v>11</v>
      </c>
      <c r="E557" t="str">
        <f>VLOOKUP(SalaryInfo[[#This Row],[employment_type]],EmpType[],2,FALSE)</f>
        <v>Full Time</v>
      </c>
      <c r="F557" t="s">
        <v>12</v>
      </c>
      <c r="G557" t="s">
        <v>43</v>
      </c>
      <c r="H557">
        <v>110000</v>
      </c>
      <c r="I557" t="s">
        <v>85</v>
      </c>
      <c r="J557">
        <v>28476</v>
      </c>
      <c r="K557" t="s">
        <v>45</v>
      </c>
      <c r="L557">
        <v>100</v>
      </c>
      <c r="M557" t="s">
        <v>45</v>
      </c>
      <c r="N557" t="s">
        <v>16</v>
      </c>
      <c r="O557" t="str">
        <f>VLOOKUP(SalaryInfo[[#This Row],[company_size]],CompanySize[],2,FALSE)</f>
        <v>Large</v>
      </c>
    </row>
    <row r="558" spans="1:15">
      <c r="A558">
        <v>253</v>
      </c>
      <c r="B558">
        <v>2021</v>
      </c>
      <c r="C558" t="str">
        <f>VLOOKUP(SalaryInfo[[#This Row],[experience_level]],Experience[],2,FALSE)</f>
        <v>Junior</v>
      </c>
      <c r="D558" t="s">
        <v>30</v>
      </c>
      <c r="E558" t="str">
        <f>VLOOKUP(SalaryInfo[[#This Row],[employment_type]],EmpType[],2,FALSE)</f>
        <v>Full Time</v>
      </c>
      <c r="F558" t="s">
        <v>12</v>
      </c>
      <c r="G558" t="s">
        <v>13</v>
      </c>
      <c r="H558">
        <v>2100000</v>
      </c>
      <c r="I558" t="s">
        <v>39</v>
      </c>
      <c r="J558">
        <v>28399</v>
      </c>
      <c r="K558" t="s">
        <v>40</v>
      </c>
      <c r="L558">
        <v>100</v>
      </c>
      <c r="M558" t="s">
        <v>40</v>
      </c>
      <c r="N558" t="s">
        <v>25</v>
      </c>
      <c r="O558" t="str">
        <f>VLOOKUP(SalaryInfo[[#This Row],[company_size]],CompanySize[],2,FALSE)</f>
        <v>Medium</v>
      </c>
    </row>
    <row r="559" spans="1:15">
      <c r="A559">
        <v>162</v>
      </c>
      <c r="B559">
        <v>2021</v>
      </c>
      <c r="C559" t="str">
        <f>VLOOKUP(SalaryInfo[[#This Row],[experience_level]],Experience[],2,FALSE)</f>
        <v>Intermediate</v>
      </c>
      <c r="D559" t="s">
        <v>11</v>
      </c>
      <c r="E559" t="str">
        <f>VLOOKUP(SalaryInfo[[#This Row],[employment_type]],EmpType[],2,FALSE)</f>
        <v>Full Time</v>
      </c>
      <c r="F559" t="s">
        <v>12</v>
      </c>
      <c r="G559" t="s">
        <v>43</v>
      </c>
      <c r="H559">
        <v>24000</v>
      </c>
      <c r="I559" t="s">
        <v>14</v>
      </c>
      <c r="J559">
        <v>28369</v>
      </c>
      <c r="K559" t="s">
        <v>107</v>
      </c>
      <c r="L559">
        <v>50</v>
      </c>
      <c r="M559" t="s">
        <v>107</v>
      </c>
      <c r="N559" t="s">
        <v>16</v>
      </c>
      <c r="O559" t="str">
        <f>VLOOKUP(SalaryInfo[[#This Row],[company_size]],CompanySize[],2,FALSE)</f>
        <v>Large</v>
      </c>
    </row>
    <row r="560" spans="1:15">
      <c r="A560">
        <v>268</v>
      </c>
      <c r="B560">
        <v>2021</v>
      </c>
      <c r="C560" t="str">
        <f>VLOOKUP(SalaryInfo[[#This Row],[experience_level]],Experience[],2,FALSE)</f>
        <v>Intermediate</v>
      </c>
      <c r="D560" t="s">
        <v>11</v>
      </c>
      <c r="E560" t="str">
        <f>VLOOKUP(SalaryInfo[[#This Row],[employment_type]],EmpType[],2,FALSE)</f>
        <v>Full Time</v>
      </c>
      <c r="F560" t="s">
        <v>12</v>
      </c>
      <c r="G560" t="s">
        <v>43</v>
      </c>
      <c r="H560">
        <v>250000</v>
      </c>
      <c r="I560" t="s">
        <v>122</v>
      </c>
      <c r="J560">
        <v>28016</v>
      </c>
      <c r="K560" t="s">
        <v>123</v>
      </c>
      <c r="L560">
        <v>100</v>
      </c>
      <c r="M560" t="s">
        <v>123</v>
      </c>
      <c r="N560" t="s">
        <v>25</v>
      </c>
      <c r="O560" t="str">
        <f>VLOOKUP(SalaryInfo[[#This Row],[company_size]],CompanySize[],2,FALSE)</f>
        <v>Medium</v>
      </c>
    </row>
    <row r="561" spans="1:15">
      <c r="A561">
        <v>182</v>
      </c>
      <c r="B561">
        <v>2021</v>
      </c>
      <c r="C561" t="str">
        <f>VLOOKUP(SalaryInfo[[#This Row],[experience_level]],Experience[],2,FALSE)</f>
        <v>Intermediate</v>
      </c>
      <c r="D561" t="s">
        <v>11</v>
      </c>
      <c r="E561" t="str">
        <f>VLOOKUP(SalaryInfo[[#This Row],[employment_type]],EmpType[],2,FALSE)</f>
        <v>Full Time</v>
      </c>
      <c r="F561" t="s">
        <v>12</v>
      </c>
      <c r="G561" t="s">
        <v>43</v>
      </c>
      <c r="H561">
        <v>22000</v>
      </c>
      <c r="I561" t="s">
        <v>14</v>
      </c>
      <c r="J561">
        <v>26005</v>
      </c>
      <c r="K561" t="s">
        <v>96</v>
      </c>
      <c r="L561">
        <v>0</v>
      </c>
      <c r="M561" t="s">
        <v>29</v>
      </c>
      <c r="N561" t="s">
        <v>16</v>
      </c>
      <c r="O561" t="str">
        <f>VLOOKUP(SalaryInfo[[#This Row],[company_size]],CompanySize[],2,FALSE)</f>
        <v>Large</v>
      </c>
    </row>
    <row r="562" spans="1:15">
      <c r="A562">
        <v>264</v>
      </c>
      <c r="B562">
        <v>2021</v>
      </c>
      <c r="C562" t="str">
        <f>VLOOKUP(SalaryInfo[[#This Row],[experience_level]],Experience[],2,FALSE)</f>
        <v>Intermediate</v>
      </c>
      <c r="D562" t="s">
        <v>11</v>
      </c>
      <c r="E562" t="str">
        <f>VLOOKUP(SalaryInfo[[#This Row],[employment_type]],EmpType[],2,FALSE)</f>
        <v>Full Time</v>
      </c>
      <c r="F562" t="s">
        <v>12</v>
      </c>
      <c r="G562" t="s">
        <v>13</v>
      </c>
      <c r="H562">
        <v>21600</v>
      </c>
      <c r="I562" t="s">
        <v>14</v>
      </c>
      <c r="J562">
        <v>25532</v>
      </c>
      <c r="K562" t="s">
        <v>126</v>
      </c>
      <c r="L562">
        <v>100</v>
      </c>
      <c r="M562" t="s">
        <v>15</v>
      </c>
      <c r="N562" t="s">
        <v>21</v>
      </c>
      <c r="O562" t="str">
        <f>VLOOKUP(SalaryInfo[[#This Row],[company_size]],CompanySize[],2,FALSE)</f>
        <v>Small</v>
      </c>
    </row>
    <row r="563" spans="1:15">
      <c r="A563">
        <v>579</v>
      </c>
      <c r="B563">
        <v>2022</v>
      </c>
      <c r="C563" t="str">
        <f>VLOOKUP(SalaryInfo[[#This Row],[experience_level]],Experience[],2,FALSE)</f>
        <v>Senior</v>
      </c>
      <c r="D563" t="s">
        <v>17</v>
      </c>
      <c r="E563" t="str">
        <f>VLOOKUP(SalaryInfo[[#This Row],[employment_type]],EmpType[],2,FALSE)</f>
        <v>Full Time</v>
      </c>
      <c r="F563" t="s">
        <v>12</v>
      </c>
      <c r="G563" t="s">
        <v>43</v>
      </c>
      <c r="H563">
        <v>25000</v>
      </c>
      <c r="I563" t="s">
        <v>19</v>
      </c>
      <c r="J563">
        <v>25000</v>
      </c>
      <c r="K563" t="s">
        <v>29</v>
      </c>
      <c r="L563">
        <v>100</v>
      </c>
      <c r="M563" t="s">
        <v>29</v>
      </c>
      <c r="N563" t="s">
        <v>25</v>
      </c>
      <c r="O563" t="str">
        <f>VLOOKUP(SalaryInfo[[#This Row],[company_size]],CompanySize[],2,FALSE)</f>
        <v>Medium</v>
      </c>
    </row>
    <row r="564" spans="1:15">
      <c r="A564">
        <v>210</v>
      </c>
      <c r="B564">
        <v>2021</v>
      </c>
      <c r="C564" t="str">
        <f>VLOOKUP(SalaryInfo[[#This Row],[experience_level]],Experience[],2,FALSE)</f>
        <v>Intermediate</v>
      </c>
      <c r="D564" t="s">
        <v>11</v>
      </c>
      <c r="E564" t="str">
        <f>VLOOKUP(SalaryInfo[[#This Row],[employment_type]],EmpType[],2,FALSE)</f>
        <v>Full Time</v>
      </c>
      <c r="F564" t="s">
        <v>12</v>
      </c>
      <c r="G564" t="s">
        <v>28</v>
      </c>
      <c r="H564">
        <v>21000</v>
      </c>
      <c r="I564" t="s">
        <v>14</v>
      </c>
      <c r="J564">
        <v>24823</v>
      </c>
      <c r="K564" t="s">
        <v>118</v>
      </c>
      <c r="L564">
        <v>50</v>
      </c>
      <c r="M564" t="s">
        <v>118</v>
      </c>
      <c r="N564" t="s">
        <v>16</v>
      </c>
      <c r="O564" t="str">
        <f>VLOOKUP(SalaryInfo[[#This Row],[company_size]],CompanySize[],2,FALSE)</f>
        <v>Large</v>
      </c>
    </row>
    <row r="565" spans="1:15">
      <c r="A565">
        <v>214</v>
      </c>
      <c r="B565">
        <v>2021</v>
      </c>
      <c r="C565" t="str">
        <f>VLOOKUP(SalaryInfo[[#This Row],[experience_level]],Experience[],2,FALSE)</f>
        <v>Junior</v>
      </c>
      <c r="D565" t="s">
        <v>30</v>
      </c>
      <c r="E565" t="str">
        <f>VLOOKUP(SalaryInfo[[#This Row],[employment_type]],EmpType[],2,FALSE)</f>
        <v>Full Time</v>
      </c>
      <c r="F565" t="s">
        <v>12</v>
      </c>
      <c r="G565" t="s">
        <v>28</v>
      </c>
      <c r="H565">
        <v>21000</v>
      </c>
      <c r="I565" t="s">
        <v>14</v>
      </c>
      <c r="J565">
        <v>24823</v>
      </c>
      <c r="K565" t="s">
        <v>15</v>
      </c>
      <c r="L565">
        <v>50</v>
      </c>
      <c r="M565" t="s">
        <v>15</v>
      </c>
      <c r="N565" t="s">
        <v>25</v>
      </c>
      <c r="O565" t="str">
        <f>VLOOKUP(SalaryInfo[[#This Row],[company_size]],CompanySize[],2,FALSE)</f>
        <v>Medium</v>
      </c>
    </row>
    <row r="566" spans="1:15">
      <c r="A566">
        <v>197</v>
      </c>
      <c r="B566">
        <v>2021</v>
      </c>
      <c r="C566" t="str">
        <f>VLOOKUP(SalaryInfo[[#This Row],[experience_level]],Experience[],2,FALSE)</f>
        <v>Senior</v>
      </c>
      <c r="D566" t="s">
        <v>17</v>
      </c>
      <c r="E566" t="str">
        <f>VLOOKUP(SalaryInfo[[#This Row],[employment_type]],EmpType[],2,FALSE)</f>
        <v>Full Time</v>
      </c>
      <c r="F566" t="s">
        <v>12</v>
      </c>
      <c r="G566" t="s">
        <v>28</v>
      </c>
      <c r="H566">
        <v>1799997</v>
      </c>
      <c r="I566" t="s">
        <v>39</v>
      </c>
      <c r="J566">
        <v>24342</v>
      </c>
      <c r="K566" t="s">
        <v>40</v>
      </c>
      <c r="L566">
        <v>100</v>
      </c>
      <c r="M566" t="s">
        <v>40</v>
      </c>
      <c r="N566" t="s">
        <v>16</v>
      </c>
      <c r="O566" t="str">
        <f>VLOOKUP(SalaryInfo[[#This Row],[company_size]],CompanySize[],2,FALSE)</f>
        <v>Large</v>
      </c>
    </row>
    <row r="567" spans="1:15">
      <c r="A567">
        <v>133</v>
      </c>
      <c r="B567">
        <v>2021</v>
      </c>
      <c r="C567" t="str">
        <f>VLOOKUP(SalaryInfo[[#This Row],[experience_level]],Experience[],2,FALSE)</f>
        <v>Senior</v>
      </c>
      <c r="D567" t="s">
        <v>17</v>
      </c>
      <c r="E567" t="str">
        <f>VLOOKUP(SalaryInfo[[#This Row],[employment_type]],EmpType[],2,FALSE)</f>
        <v>Full Time</v>
      </c>
      <c r="F567" t="s">
        <v>12</v>
      </c>
      <c r="G567" t="s">
        <v>74</v>
      </c>
      <c r="H567">
        <v>24000</v>
      </c>
      <c r="I567" t="s">
        <v>19</v>
      </c>
      <c r="J567">
        <v>24000</v>
      </c>
      <c r="K567" t="s">
        <v>91</v>
      </c>
      <c r="L567">
        <v>100</v>
      </c>
      <c r="M567" t="s">
        <v>91</v>
      </c>
      <c r="N567" t="s">
        <v>25</v>
      </c>
      <c r="O567" t="str">
        <f>VLOOKUP(SalaryInfo[[#This Row],[company_size]],CompanySize[],2,FALSE)</f>
        <v>Medium</v>
      </c>
    </row>
    <row r="568" spans="1:15">
      <c r="A568">
        <v>180</v>
      </c>
      <c r="B568">
        <v>2021</v>
      </c>
      <c r="C568" t="str">
        <f>VLOOKUP(SalaryInfo[[#This Row],[experience_level]],Experience[],2,FALSE)</f>
        <v>Intermediate</v>
      </c>
      <c r="D568" t="s">
        <v>11</v>
      </c>
      <c r="E568" t="str">
        <f>VLOOKUP(SalaryInfo[[#This Row],[employment_type]],EmpType[],2,FALSE)</f>
        <v>Full Time</v>
      </c>
      <c r="F568" t="s">
        <v>12</v>
      </c>
      <c r="G568" t="s">
        <v>22</v>
      </c>
      <c r="H568">
        <v>1672000</v>
      </c>
      <c r="I568" t="s">
        <v>39</v>
      </c>
      <c r="J568">
        <v>22611</v>
      </c>
      <c r="K568" t="s">
        <v>40</v>
      </c>
      <c r="L568">
        <v>0</v>
      </c>
      <c r="M568" t="s">
        <v>40</v>
      </c>
      <c r="N568" t="s">
        <v>16</v>
      </c>
      <c r="O568" t="str">
        <f>VLOOKUP(SalaryInfo[[#This Row],[company_size]],CompanySize[],2,FALSE)</f>
        <v>Large</v>
      </c>
    </row>
    <row r="569" spans="1:15">
      <c r="A569">
        <v>449</v>
      </c>
      <c r="B569">
        <v>2022</v>
      </c>
      <c r="C569" t="str">
        <f>VLOOKUP(SalaryInfo[[#This Row],[experience_level]],Experience[],2,FALSE)</f>
        <v>Junior</v>
      </c>
      <c r="D569" t="s">
        <v>30</v>
      </c>
      <c r="E569" t="str">
        <f>VLOOKUP(SalaryInfo[[#This Row],[employment_type]],EmpType[],2,FALSE)</f>
        <v>Full Time</v>
      </c>
      <c r="F569" t="s">
        <v>12</v>
      </c>
      <c r="G569" t="s">
        <v>69</v>
      </c>
      <c r="H569">
        <v>20000</v>
      </c>
      <c r="I569" t="s">
        <v>14</v>
      </c>
      <c r="J569">
        <v>21983</v>
      </c>
      <c r="K569" t="s">
        <v>47</v>
      </c>
      <c r="L569">
        <v>100</v>
      </c>
      <c r="M569" t="s">
        <v>47</v>
      </c>
      <c r="N569" t="s">
        <v>16</v>
      </c>
      <c r="O569" t="str">
        <f>VLOOKUP(SalaryInfo[[#This Row],[company_size]],CompanySize[],2,FALSE)</f>
        <v>Large</v>
      </c>
    </row>
    <row r="570" spans="1:15">
      <c r="A570">
        <v>191</v>
      </c>
      <c r="B570">
        <v>2021</v>
      </c>
      <c r="C570" t="str">
        <f>VLOOKUP(SalaryInfo[[#This Row],[experience_level]],Experience[],2,FALSE)</f>
        <v>Junior</v>
      </c>
      <c r="D570" t="s">
        <v>30</v>
      </c>
      <c r="E570" t="str">
        <f>VLOOKUP(SalaryInfo[[#This Row],[employment_type]],EmpType[],2,FALSE)</f>
        <v>Full Time</v>
      </c>
      <c r="F570" t="s">
        <v>12</v>
      </c>
      <c r="G570" t="s">
        <v>28</v>
      </c>
      <c r="H570">
        <v>21844</v>
      </c>
      <c r="I570" t="s">
        <v>19</v>
      </c>
      <c r="J570">
        <v>21844</v>
      </c>
      <c r="K570" t="s">
        <v>114</v>
      </c>
      <c r="L570">
        <v>50</v>
      </c>
      <c r="M570" t="s">
        <v>114</v>
      </c>
      <c r="N570" t="s">
        <v>25</v>
      </c>
      <c r="O570" t="str">
        <f>VLOOKUP(SalaryInfo[[#This Row],[company_size]],CompanySize[],2,FALSE)</f>
        <v>Medium</v>
      </c>
    </row>
    <row r="571" spans="1:15">
      <c r="A571">
        <v>62</v>
      </c>
      <c r="B571">
        <v>2020</v>
      </c>
      <c r="C571" t="str">
        <f>VLOOKUP(SalaryInfo[[#This Row],[experience_level]],Experience[],2,FALSE)</f>
        <v>Junior</v>
      </c>
      <c r="D571" t="s">
        <v>30</v>
      </c>
      <c r="E571" t="str">
        <f>VLOOKUP(SalaryInfo[[#This Row],[employment_type]],EmpType[],2,FALSE)</f>
        <v>Part Time</v>
      </c>
      <c r="F571" t="s">
        <v>47</v>
      </c>
      <c r="G571" t="s">
        <v>13</v>
      </c>
      <c r="H571">
        <v>19000</v>
      </c>
      <c r="I571" t="s">
        <v>14</v>
      </c>
      <c r="J571">
        <v>21669</v>
      </c>
      <c r="K571" t="s">
        <v>77</v>
      </c>
      <c r="L571">
        <v>50</v>
      </c>
      <c r="M571" t="s">
        <v>77</v>
      </c>
      <c r="N571" t="s">
        <v>21</v>
      </c>
      <c r="O571" t="str">
        <f>VLOOKUP(SalaryInfo[[#This Row],[company_size]],CompanySize[],2,FALSE)</f>
        <v>Small</v>
      </c>
    </row>
    <row r="572" spans="1:15">
      <c r="A572">
        <v>239</v>
      </c>
      <c r="B572">
        <v>2021</v>
      </c>
      <c r="C572" t="str">
        <f>VLOOKUP(SalaryInfo[[#This Row],[experience_level]],Experience[],2,FALSE)</f>
        <v>Junior</v>
      </c>
      <c r="D572" t="s">
        <v>30</v>
      </c>
      <c r="E572" t="str">
        <f>VLOOKUP(SalaryInfo[[#This Row],[employment_type]],EmpType[],2,FALSE)</f>
        <v>Full Time</v>
      </c>
      <c r="F572" t="s">
        <v>12</v>
      </c>
      <c r="G572" t="s">
        <v>43</v>
      </c>
      <c r="H572">
        <v>1600000</v>
      </c>
      <c r="I572" t="s">
        <v>39</v>
      </c>
      <c r="J572">
        <v>21637</v>
      </c>
      <c r="K572" t="s">
        <v>40</v>
      </c>
      <c r="L572">
        <v>50</v>
      </c>
      <c r="M572" t="s">
        <v>40</v>
      </c>
      <c r="N572" t="s">
        <v>25</v>
      </c>
      <c r="O572" t="str">
        <f>VLOOKUP(SalaryInfo[[#This Row],[company_size]],CompanySize[],2,FALSE)</f>
        <v>Medium</v>
      </c>
    </row>
    <row r="573" spans="1:15">
      <c r="A573">
        <v>278</v>
      </c>
      <c r="B573">
        <v>2021</v>
      </c>
      <c r="C573" t="str">
        <f>VLOOKUP(SalaryInfo[[#This Row],[experience_level]],Experience[],2,FALSE)</f>
        <v>Senior</v>
      </c>
      <c r="D573" t="s">
        <v>17</v>
      </c>
      <c r="E573" t="str">
        <f>VLOOKUP(SalaryInfo[[#This Row],[employment_type]],EmpType[],2,FALSE)</f>
        <v>Full Time</v>
      </c>
      <c r="F573" t="s">
        <v>12</v>
      </c>
      <c r="G573" t="s">
        <v>13</v>
      </c>
      <c r="H573">
        <v>180000</v>
      </c>
      <c r="I573" t="s">
        <v>122</v>
      </c>
      <c r="J573">
        <v>20171</v>
      </c>
      <c r="K573" t="s">
        <v>123</v>
      </c>
      <c r="L573">
        <v>50</v>
      </c>
      <c r="M573" t="s">
        <v>123</v>
      </c>
      <c r="N573" t="s">
        <v>16</v>
      </c>
      <c r="O573" t="str">
        <f>VLOOKUP(SalaryInfo[[#This Row],[company_size]],CompanySize[],2,FALSE)</f>
        <v>Large</v>
      </c>
    </row>
    <row r="574" spans="1:15">
      <c r="A574">
        <v>3</v>
      </c>
      <c r="B574">
        <v>2020</v>
      </c>
      <c r="C574" t="str">
        <f>VLOOKUP(SalaryInfo[[#This Row],[experience_level]],Experience[],2,FALSE)</f>
        <v>Intermediate</v>
      </c>
      <c r="D574" t="s">
        <v>11</v>
      </c>
      <c r="E574" t="str">
        <f>VLOOKUP(SalaryInfo[[#This Row],[employment_type]],EmpType[],2,FALSE)</f>
        <v>Full Time</v>
      </c>
      <c r="F574" t="s">
        <v>12</v>
      </c>
      <c r="G574" t="s">
        <v>26</v>
      </c>
      <c r="H574">
        <v>20000</v>
      </c>
      <c r="I574" t="s">
        <v>19</v>
      </c>
      <c r="J574">
        <v>20000</v>
      </c>
      <c r="K574" t="s">
        <v>27</v>
      </c>
      <c r="L574">
        <v>0</v>
      </c>
      <c r="M574" t="s">
        <v>27</v>
      </c>
      <c r="N574" t="s">
        <v>21</v>
      </c>
      <c r="O574" t="str">
        <f>VLOOKUP(SalaryInfo[[#This Row],[company_size]],CompanySize[],2,FALSE)</f>
        <v>Small</v>
      </c>
    </row>
    <row r="575" spans="1:15">
      <c r="A575">
        <v>208</v>
      </c>
      <c r="B575">
        <v>2021</v>
      </c>
      <c r="C575" t="str">
        <f>VLOOKUP(SalaryInfo[[#This Row],[experience_level]],Experience[],2,FALSE)</f>
        <v>Intermediate</v>
      </c>
      <c r="D575" t="s">
        <v>11</v>
      </c>
      <c r="E575" t="str">
        <f>VLOOKUP(SalaryInfo[[#This Row],[employment_type]],EmpType[],2,FALSE)</f>
        <v>Freelance</v>
      </c>
      <c r="F575" t="s">
        <v>73</v>
      </c>
      <c r="G575" t="s">
        <v>43</v>
      </c>
      <c r="H575">
        <v>20000</v>
      </c>
      <c r="I575" t="s">
        <v>19</v>
      </c>
      <c r="J575">
        <v>20000</v>
      </c>
      <c r="K575" t="s">
        <v>77</v>
      </c>
      <c r="L575">
        <v>0</v>
      </c>
      <c r="M575" t="s">
        <v>29</v>
      </c>
      <c r="N575" t="s">
        <v>16</v>
      </c>
      <c r="O575" t="str">
        <f>VLOOKUP(SalaryInfo[[#This Row],[company_size]],CompanySize[],2,FALSE)</f>
        <v>Large</v>
      </c>
    </row>
    <row r="576" spans="1:15">
      <c r="A576">
        <v>522</v>
      </c>
      <c r="B576">
        <v>2022</v>
      </c>
      <c r="C576" t="str">
        <f>VLOOKUP(SalaryInfo[[#This Row],[experience_level]],Experience[],2,FALSE)</f>
        <v>Intermediate</v>
      </c>
      <c r="D576" t="s">
        <v>11</v>
      </c>
      <c r="E576" t="str">
        <f>VLOOKUP(SalaryInfo[[#This Row],[employment_type]],EmpType[],2,FALSE)</f>
        <v>Full Time</v>
      </c>
      <c r="F576" t="s">
        <v>12</v>
      </c>
      <c r="G576" t="s">
        <v>31</v>
      </c>
      <c r="H576">
        <v>20000</v>
      </c>
      <c r="I576" t="s">
        <v>19</v>
      </c>
      <c r="J576">
        <v>20000</v>
      </c>
      <c r="K576" t="s">
        <v>50</v>
      </c>
      <c r="L576">
        <v>100</v>
      </c>
      <c r="M576" t="s">
        <v>50</v>
      </c>
      <c r="N576" t="s">
        <v>21</v>
      </c>
      <c r="O576" t="str">
        <f>VLOOKUP(SalaryInfo[[#This Row],[company_size]],CompanySize[],2,FALSE)</f>
        <v>Small</v>
      </c>
    </row>
    <row r="577" spans="1:15">
      <c r="A577">
        <v>128</v>
      </c>
      <c r="B577">
        <v>2021</v>
      </c>
      <c r="C577" t="str">
        <f>VLOOKUP(SalaryInfo[[#This Row],[experience_level]],Experience[],2,FALSE)</f>
        <v>Junior</v>
      </c>
      <c r="D577" t="s">
        <v>30</v>
      </c>
      <c r="E577" t="str">
        <f>VLOOKUP(SalaryInfo[[#This Row],[employment_type]],EmpType[],2,FALSE)</f>
        <v>Full Time</v>
      </c>
      <c r="F577" t="s">
        <v>12</v>
      </c>
      <c r="G577" t="s">
        <v>28</v>
      </c>
      <c r="H577">
        <v>20000</v>
      </c>
      <c r="I577" t="s">
        <v>19</v>
      </c>
      <c r="J577">
        <v>20000</v>
      </c>
      <c r="K577" t="s">
        <v>40</v>
      </c>
      <c r="L577">
        <v>100</v>
      </c>
      <c r="M577" t="s">
        <v>40</v>
      </c>
      <c r="N577" t="s">
        <v>21</v>
      </c>
      <c r="O577" t="str">
        <f>VLOOKUP(SalaryInfo[[#This Row],[company_size]],CompanySize[],2,FALSE)</f>
        <v>Small</v>
      </c>
    </row>
    <row r="578" spans="1:15">
      <c r="A578">
        <v>514</v>
      </c>
      <c r="B578">
        <v>2022</v>
      </c>
      <c r="C578" t="str">
        <f>VLOOKUP(SalaryInfo[[#This Row],[experience_level]],Experience[],2,FALSE)</f>
        <v>Junior</v>
      </c>
      <c r="D578" t="s">
        <v>30</v>
      </c>
      <c r="E578" t="str">
        <f>VLOOKUP(SalaryInfo[[#This Row],[employment_type]],EmpType[],2,FALSE)</f>
        <v>Full Time</v>
      </c>
      <c r="F578" t="s">
        <v>12</v>
      </c>
      <c r="G578" t="s">
        <v>83</v>
      </c>
      <c r="H578">
        <v>20000</v>
      </c>
      <c r="I578" t="s">
        <v>19</v>
      </c>
      <c r="J578">
        <v>20000</v>
      </c>
      <c r="K578" t="s">
        <v>42</v>
      </c>
      <c r="L578">
        <v>0</v>
      </c>
      <c r="M578" t="s">
        <v>42</v>
      </c>
      <c r="N578" t="s">
        <v>25</v>
      </c>
      <c r="O578" t="str">
        <f>VLOOKUP(SalaryInfo[[#This Row],[company_size]],CompanySize[],2,FALSE)</f>
        <v>Medium</v>
      </c>
    </row>
    <row r="579" spans="1:15">
      <c r="A579">
        <v>92</v>
      </c>
      <c r="B579">
        <v>2021</v>
      </c>
      <c r="C579" t="str">
        <f>VLOOKUP(SalaryInfo[[#This Row],[experience_level]],Experience[],2,FALSE)</f>
        <v>Intermediate</v>
      </c>
      <c r="D579" t="s">
        <v>11</v>
      </c>
      <c r="E579" t="str">
        <f>VLOOKUP(SalaryInfo[[#This Row],[employment_type]],EmpType[],2,FALSE)</f>
        <v>Full Time</v>
      </c>
      <c r="F579" t="s">
        <v>12</v>
      </c>
      <c r="G579" t="s">
        <v>41</v>
      </c>
      <c r="H579">
        <v>1450000</v>
      </c>
      <c r="I579" t="s">
        <v>39</v>
      </c>
      <c r="J579">
        <v>19609</v>
      </c>
      <c r="K579" t="s">
        <v>40</v>
      </c>
      <c r="L579">
        <v>100</v>
      </c>
      <c r="M579" t="s">
        <v>40</v>
      </c>
      <c r="N579" t="s">
        <v>16</v>
      </c>
      <c r="O579" t="str">
        <f>VLOOKUP(SalaryInfo[[#This Row],[company_size]],CompanySize[],2,FALSE)</f>
        <v>Large</v>
      </c>
    </row>
    <row r="580" spans="1:15">
      <c r="A580">
        <v>271</v>
      </c>
      <c r="B580">
        <v>2021</v>
      </c>
      <c r="C580" t="str">
        <f>VLOOKUP(SalaryInfo[[#This Row],[experience_level]],Experience[],2,FALSE)</f>
        <v>Senior</v>
      </c>
      <c r="D580" t="s">
        <v>17</v>
      </c>
      <c r="E580" t="str">
        <f>VLOOKUP(SalaryInfo[[#This Row],[employment_type]],EmpType[],2,FALSE)</f>
        <v>Full Time</v>
      </c>
      <c r="F580" t="s">
        <v>12</v>
      </c>
      <c r="G580" t="s">
        <v>74</v>
      </c>
      <c r="H580">
        <v>102000</v>
      </c>
      <c r="I580" t="s">
        <v>117</v>
      </c>
      <c r="J580">
        <v>18907</v>
      </c>
      <c r="K580" t="s">
        <v>91</v>
      </c>
      <c r="L580">
        <v>0</v>
      </c>
      <c r="M580" t="s">
        <v>91</v>
      </c>
      <c r="N580" t="s">
        <v>25</v>
      </c>
      <c r="O580" t="str">
        <f>VLOOKUP(SalaryInfo[[#This Row],[company_size]],CompanySize[],2,FALSE)</f>
        <v>Medium</v>
      </c>
    </row>
    <row r="581" spans="1:15">
      <c r="A581">
        <v>458</v>
      </c>
      <c r="B581">
        <v>2022</v>
      </c>
      <c r="C581" t="str">
        <f>VLOOKUP(SalaryInfo[[#This Row],[experience_level]],Experience[],2,FALSE)</f>
        <v>Intermediate</v>
      </c>
      <c r="D581" t="s">
        <v>11</v>
      </c>
      <c r="E581" t="str">
        <f>VLOOKUP(SalaryInfo[[#This Row],[employment_type]],EmpType[],2,FALSE)</f>
        <v>Full Time</v>
      </c>
      <c r="F581" t="s">
        <v>12</v>
      </c>
      <c r="G581" t="s">
        <v>35</v>
      </c>
      <c r="H581">
        <v>1400000</v>
      </c>
      <c r="I581" t="s">
        <v>39</v>
      </c>
      <c r="J581">
        <v>18442</v>
      </c>
      <c r="K581" t="s">
        <v>40</v>
      </c>
      <c r="L581">
        <v>100</v>
      </c>
      <c r="M581" t="s">
        <v>40</v>
      </c>
      <c r="N581" t="s">
        <v>25</v>
      </c>
      <c r="O581" t="str">
        <f>VLOOKUP(SalaryInfo[[#This Row],[company_size]],CompanySize[],2,FALSE)</f>
        <v>Medium</v>
      </c>
    </row>
    <row r="582" spans="1:15">
      <c r="A582">
        <v>463</v>
      </c>
      <c r="B582">
        <v>2022</v>
      </c>
      <c r="C582" t="str">
        <f>VLOOKUP(SalaryInfo[[#This Row],[experience_level]],Experience[],2,FALSE)</f>
        <v>Junior</v>
      </c>
      <c r="D582" t="s">
        <v>30</v>
      </c>
      <c r="E582" t="str">
        <f>VLOOKUP(SalaryInfo[[#This Row],[employment_type]],EmpType[],2,FALSE)</f>
        <v>Full Time</v>
      </c>
      <c r="F582" t="s">
        <v>12</v>
      </c>
      <c r="G582" t="s">
        <v>13</v>
      </c>
      <c r="H582">
        <v>1400000</v>
      </c>
      <c r="I582" t="s">
        <v>39</v>
      </c>
      <c r="J582">
        <v>18442</v>
      </c>
      <c r="K582" t="s">
        <v>40</v>
      </c>
      <c r="L582">
        <v>100</v>
      </c>
      <c r="M582" t="s">
        <v>40</v>
      </c>
      <c r="N582" t="s">
        <v>25</v>
      </c>
      <c r="O582" t="str">
        <f>VLOOKUP(SalaryInfo[[#This Row],[company_size]],CompanySize[],2,FALSE)</f>
        <v>Medium</v>
      </c>
    </row>
    <row r="583" spans="1:15">
      <c r="A583">
        <v>244</v>
      </c>
      <c r="B583">
        <v>2021</v>
      </c>
      <c r="C583" t="str">
        <f>VLOOKUP(SalaryInfo[[#This Row],[experience_level]],Experience[],2,FALSE)</f>
        <v>Junior</v>
      </c>
      <c r="D583" t="s">
        <v>30</v>
      </c>
      <c r="E583" t="str">
        <f>VLOOKUP(SalaryInfo[[#This Row],[employment_type]],EmpType[],2,FALSE)</f>
        <v>Full Time</v>
      </c>
      <c r="F583" t="s">
        <v>12</v>
      </c>
      <c r="G583" t="s">
        <v>70</v>
      </c>
      <c r="H583">
        <v>1335000</v>
      </c>
      <c r="I583" t="s">
        <v>39</v>
      </c>
      <c r="J583">
        <v>18053</v>
      </c>
      <c r="K583" t="s">
        <v>40</v>
      </c>
      <c r="L583">
        <v>100</v>
      </c>
      <c r="M583" t="s">
        <v>121</v>
      </c>
      <c r="N583" t="s">
        <v>21</v>
      </c>
      <c r="O583" t="str">
        <f>VLOOKUP(SalaryInfo[[#This Row],[company_size]],CompanySize[],2,FALSE)</f>
        <v>Small</v>
      </c>
    </row>
    <row r="584" spans="1:15">
      <c r="A584">
        <v>192</v>
      </c>
      <c r="B584">
        <v>2021</v>
      </c>
      <c r="C584" t="str">
        <f>VLOOKUP(SalaryInfo[[#This Row],[experience_level]],Experience[],2,FALSE)</f>
        <v>Intermediate</v>
      </c>
      <c r="D584" t="s">
        <v>11</v>
      </c>
      <c r="E584" t="str">
        <f>VLOOKUP(SalaryInfo[[#This Row],[employment_type]],EmpType[],2,FALSE)</f>
        <v>Full Time</v>
      </c>
      <c r="F584" t="s">
        <v>12</v>
      </c>
      <c r="G584" t="s">
        <v>22</v>
      </c>
      <c r="H584">
        <v>18000</v>
      </c>
      <c r="I584" t="s">
        <v>19</v>
      </c>
      <c r="J584">
        <v>18000</v>
      </c>
      <c r="K584" t="s">
        <v>115</v>
      </c>
      <c r="L584">
        <v>0</v>
      </c>
      <c r="M584" t="s">
        <v>115</v>
      </c>
      <c r="N584" t="s">
        <v>21</v>
      </c>
      <c r="O584" t="str">
        <f>VLOOKUP(SalaryInfo[[#This Row],[company_size]],CompanySize[],2,FALSE)</f>
        <v>Small</v>
      </c>
    </row>
    <row r="585" spans="1:15">
      <c r="A585">
        <v>262</v>
      </c>
      <c r="B585">
        <v>2021</v>
      </c>
      <c r="C585" t="str">
        <f>VLOOKUP(SalaryInfo[[#This Row],[experience_level]],Experience[],2,FALSE)</f>
        <v>Intermediate</v>
      </c>
      <c r="D585" t="s">
        <v>11</v>
      </c>
      <c r="E585" t="str">
        <f>VLOOKUP(SalaryInfo[[#This Row],[employment_type]],EmpType[],2,FALSE)</f>
        <v>Full Time</v>
      </c>
      <c r="F585" t="s">
        <v>12</v>
      </c>
      <c r="G585" t="s">
        <v>13</v>
      </c>
      <c r="H585">
        <v>1250000</v>
      </c>
      <c r="I585" t="s">
        <v>39</v>
      </c>
      <c r="J585">
        <v>16904</v>
      </c>
      <c r="K585" t="s">
        <v>40</v>
      </c>
      <c r="L585">
        <v>100</v>
      </c>
      <c r="M585" t="s">
        <v>40</v>
      </c>
      <c r="N585" t="s">
        <v>21</v>
      </c>
      <c r="O585" t="str">
        <f>VLOOKUP(SalaryInfo[[#This Row],[company_size]],CompanySize[],2,FALSE)</f>
        <v>Small</v>
      </c>
    </row>
    <row r="586" spans="1:15">
      <c r="A586">
        <v>230</v>
      </c>
      <c r="B586">
        <v>2021</v>
      </c>
      <c r="C586" t="str">
        <f>VLOOKUP(SalaryInfo[[#This Row],[experience_level]],Experience[],2,FALSE)</f>
        <v>Junior</v>
      </c>
      <c r="D586" t="s">
        <v>30</v>
      </c>
      <c r="E586" t="str">
        <f>VLOOKUP(SalaryInfo[[#This Row],[employment_type]],EmpType[],2,FALSE)</f>
        <v>Full Time</v>
      </c>
      <c r="F586" t="s">
        <v>12</v>
      </c>
      <c r="G586" t="s">
        <v>22</v>
      </c>
      <c r="H586">
        <v>1200000</v>
      </c>
      <c r="I586" t="s">
        <v>39</v>
      </c>
      <c r="J586">
        <v>16228</v>
      </c>
      <c r="K586" t="s">
        <v>40</v>
      </c>
      <c r="L586">
        <v>100</v>
      </c>
      <c r="M586" t="s">
        <v>40</v>
      </c>
      <c r="N586" t="s">
        <v>16</v>
      </c>
      <c r="O586" t="str">
        <f>VLOOKUP(SalaryInfo[[#This Row],[company_size]],CompanySize[],2,FALSE)</f>
        <v>Large</v>
      </c>
    </row>
    <row r="587" spans="1:15">
      <c r="A587">
        <v>45</v>
      </c>
      <c r="B587">
        <v>2020</v>
      </c>
      <c r="C587" t="str">
        <f>VLOOKUP(SalaryInfo[[#This Row],[experience_level]],Experience[],2,FALSE)</f>
        <v>Junior</v>
      </c>
      <c r="D587" t="s">
        <v>30</v>
      </c>
      <c r="E587" t="str">
        <f>VLOOKUP(SalaryInfo[[#This Row],[employment_type]],EmpType[],2,FALSE)</f>
        <v>Part Time</v>
      </c>
      <c r="F587" t="s">
        <v>47</v>
      </c>
      <c r="G587" t="s">
        <v>69</v>
      </c>
      <c r="H587">
        <v>14000</v>
      </c>
      <c r="I587" t="s">
        <v>14</v>
      </c>
      <c r="J587">
        <v>15966</v>
      </c>
      <c r="K587" t="s">
        <v>15</v>
      </c>
      <c r="L587">
        <v>100</v>
      </c>
      <c r="M587" t="s">
        <v>15</v>
      </c>
      <c r="N587" t="s">
        <v>21</v>
      </c>
      <c r="O587" t="str">
        <f>VLOOKUP(SalaryInfo[[#This Row],[company_size]],CompanySize[],2,FALSE)</f>
        <v>Small</v>
      </c>
    </row>
    <row r="588" spans="1:15">
      <c r="A588">
        <v>153</v>
      </c>
      <c r="B588">
        <v>2021</v>
      </c>
      <c r="C588" t="str">
        <f>VLOOKUP(SalaryInfo[[#This Row],[experience_level]],Experience[],2,FALSE)</f>
        <v>Junior</v>
      </c>
      <c r="D588" t="s">
        <v>30</v>
      </c>
      <c r="E588" t="str">
        <f>VLOOKUP(SalaryInfo[[#This Row],[employment_type]],EmpType[],2,FALSE)</f>
        <v>Full Time</v>
      </c>
      <c r="F588" t="s">
        <v>12</v>
      </c>
      <c r="G588" t="s">
        <v>13</v>
      </c>
      <c r="H588">
        <v>13400</v>
      </c>
      <c r="I588" t="s">
        <v>19</v>
      </c>
      <c r="J588">
        <v>13400</v>
      </c>
      <c r="K588" t="s">
        <v>103</v>
      </c>
      <c r="L588">
        <v>100</v>
      </c>
      <c r="M588" t="s">
        <v>103</v>
      </c>
      <c r="N588" t="s">
        <v>16</v>
      </c>
      <c r="O588" t="str">
        <f>VLOOKUP(SalaryInfo[[#This Row],[company_size]],CompanySize[],2,FALSE)</f>
        <v>Large</v>
      </c>
    </row>
    <row r="589" spans="1:15">
      <c r="A589">
        <v>205</v>
      </c>
      <c r="B589">
        <v>2021</v>
      </c>
      <c r="C589" t="str">
        <f>VLOOKUP(SalaryInfo[[#This Row],[experience_level]],Experience[],2,FALSE)</f>
        <v>Intermediate</v>
      </c>
      <c r="D589" t="s">
        <v>11</v>
      </c>
      <c r="E589" t="str">
        <f>VLOOKUP(SalaryInfo[[#This Row],[employment_type]],EmpType[],2,FALSE)</f>
        <v>Full Time</v>
      </c>
      <c r="F589" t="s">
        <v>12</v>
      </c>
      <c r="G589" t="s">
        <v>13</v>
      </c>
      <c r="H589">
        <v>69600</v>
      </c>
      <c r="I589" t="s">
        <v>117</v>
      </c>
      <c r="J589">
        <v>12901</v>
      </c>
      <c r="K589" t="s">
        <v>91</v>
      </c>
      <c r="L589">
        <v>0</v>
      </c>
      <c r="M589" t="s">
        <v>91</v>
      </c>
      <c r="N589" t="s">
        <v>21</v>
      </c>
      <c r="O589" t="str">
        <f>VLOOKUP(SalaryInfo[[#This Row],[company_size]],CompanySize[],2,FALSE)</f>
        <v>Small</v>
      </c>
    </row>
    <row r="590" spans="1:15">
      <c r="A590">
        <v>247</v>
      </c>
      <c r="B590">
        <v>2021</v>
      </c>
      <c r="C590" t="str">
        <f>VLOOKUP(SalaryInfo[[#This Row],[experience_level]],Experience[],2,FALSE)</f>
        <v>Intermediate</v>
      </c>
      <c r="D590" t="s">
        <v>11</v>
      </c>
      <c r="E590" t="str">
        <f>VLOOKUP(SalaryInfo[[#This Row],[employment_type]],EmpType[],2,FALSE)</f>
        <v>Full Time</v>
      </c>
      <c r="F590" t="s">
        <v>12</v>
      </c>
      <c r="G590" t="s">
        <v>43</v>
      </c>
      <c r="H590">
        <v>108000</v>
      </c>
      <c r="I590" t="s">
        <v>122</v>
      </c>
      <c r="J590">
        <v>12103</v>
      </c>
      <c r="K590" t="s">
        <v>123</v>
      </c>
      <c r="L590">
        <v>0</v>
      </c>
      <c r="M590" t="s">
        <v>123</v>
      </c>
      <c r="N590" t="s">
        <v>25</v>
      </c>
      <c r="O590" t="str">
        <f>VLOOKUP(SalaryInfo[[#This Row],[company_size]],CompanySize[],2,FALSE)</f>
        <v>Medium</v>
      </c>
    </row>
    <row r="591" spans="1:15">
      <c r="A591">
        <v>184</v>
      </c>
      <c r="B591">
        <v>2021</v>
      </c>
      <c r="C591" t="str">
        <f>VLOOKUP(SalaryInfo[[#This Row],[experience_level]],Experience[],2,FALSE)</f>
        <v>Intermediate</v>
      </c>
      <c r="D591" t="s">
        <v>11</v>
      </c>
      <c r="E591" t="str">
        <f>VLOOKUP(SalaryInfo[[#This Row],[employment_type]],EmpType[],2,FALSE)</f>
        <v>Freelance</v>
      </c>
      <c r="F591" t="s">
        <v>73</v>
      </c>
      <c r="G591" t="s">
        <v>18</v>
      </c>
      <c r="H591">
        <v>12000</v>
      </c>
      <c r="I591" t="s">
        <v>19</v>
      </c>
      <c r="J591">
        <v>12000</v>
      </c>
      <c r="K591" t="s">
        <v>42</v>
      </c>
      <c r="L591">
        <v>50</v>
      </c>
      <c r="M591" t="s">
        <v>42</v>
      </c>
      <c r="N591" t="s">
        <v>25</v>
      </c>
      <c r="O591" t="str">
        <f>VLOOKUP(SalaryInfo[[#This Row],[company_size]],CompanySize[],2,FALSE)</f>
        <v>Medium</v>
      </c>
    </row>
    <row r="592" spans="1:15">
      <c r="A592">
        <v>96</v>
      </c>
      <c r="B592">
        <v>2021</v>
      </c>
      <c r="C592" t="str">
        <f>VLOOKUP(SalaryInfo[[#This Row],[experience_level]],Experience[],2,FALSE)</f>
        <v>Junior</v>
      </c>
      <c r="D592" t="s">
        <v>30</v>
      </c>
      <c r="E592" t="str">
        <f>VLOOKUP(SalaryInfo[[#This Row],[employment_type]],EmpType[],2,FALSE)</f>
        <v>Part Time</v>
      </c>
      <c r="F592" t="s">
        <v>47</v>
      </c>
      <c r="G592" t="s">
        <v>70</v>
      </c>
      <c r="H592">
        <v>12000</v>
      </c>
      <c r="I592" t="s">
        <v>19</v>
      </c>
      <c r="J592">
        <v>12000</v>
      </c>
      <c r="K592" t="s">
        <v>91</v>
      </c>
      <c r="L592">
        <v>100</v>
      </c>
      <c r="M592" t="s">
        <v>29</v>
      </c>
      <c r="N592" t="s">
        <v>21</v>
      </c>
      <c r="O592" t="str">
        <f>VLOOKUP(SalaryInfo[[#This Row],[company_size]],CompanySize[],2,FALSE)</f>
        <v>Small</v>
      </c>
    </row>
    <row r="593" spans="1:15">
      <c r="A593">
        <v>113</v>
      </c>
      <c r="B593">
        <v>2021</v>
      </c>
      <c r="C593" t="str">
        <f>VLOOKUP(SalaryInfo[[#This Row],[experience_level]],Experience[],2,FALSE)</f>
        <v>Junior</v>
      </c>
      <c r="D593" t="s">
        <v>30</v>
      </c>
      <c r="E593" t="str">
        <f>VLOOKUP(SalaryInfo[[#This Row],[employment_type]],EmpType[],2,FALSE)</f>
        <v>Part Time</v>
      </c>
      <c r="F593" t="s">
        <v>47</v>
      </c>
      <c r="G593" t="s">
        <v>70</v>
      </c>
      <c r="H593">
        <v>12000</v>
      </c>
      <c r="I593" t="s">
        <v>19</v>
      </c>
      <c r="J593">
        <v>12000</v>
      </c>
      <c r="K593" t="s">
        <v>42</v>
      </c>
      <c r="L593">
        <v>100</v>
      </c>
      <c r="M593" t="s">
        <v>29</v>
      </c>
      <c r="N593" t="s">
        <v>25</v>
      </c>
      <c r="O593" t="str">
        <f>VLOOKUP(SalaryInfo[[#This Row],[company_size]],CompanySize[],2,FALSE)</f>
        <v>Medium</v>
      </c>
    </row>
    <row r="594" spans="1:15">
      <c r="A594">
        <v>124</v>
      </c>
      <c r="B594">
        <v>2021</v>
      </c>
      <c r="C594" t="str">
        <f>VLOOKUP(SalaryInfo[[#This Row],[experience_level]],Experience[],2,FALSE)</f>
        <v>Junior</v>
      </c>
      <c r="D594" t="s">
        <v>30</v>
      </c>
      <c r="E594" t="str">
        <f>VLOOKUP(SalaryInfo[[#This Row],[employment_type]],EmpType[],2,FALSE)</f>
        <v>Part Time</v>
      </c>
      <c r="F594" t="s">
        <v>47</v>
      </c>
      <c r="G594" t="s">
        <v>31</v>
      </c>
      <c r="H594">
        <v>8760</v>
      </c>
      <c r="I594" t="s">
        <v>14</v>
      </c>
      <c r="J594">
        <v>10354</v>
      </c>
      <c r="K594" t="s">
        <v>67</v>
      </c>
      <c r="L594">
        <v>50</v>
      </c>
      <c r="M594" t="s">
        <v>67</v>
      </c>
      <c r="N594" t="s">
        <v>25</v>
      </c>
      <c r="O594" t="str">
        <f>VLOOKUP(SalaryInfo[[#This Row],[company_size]],CompanySize[],2,FALSE)</f>
        <v>Medium</v>
      </c>
    </row>
    <row r="595" spans="1:15">
      <c r="A595">
        <v>38</v>
      </c>
      <c r="B595">
        <v>2020</v>
      </c>
      <c r="C595" t="str">
        <f>VLOOKUP(SalaryInfo[[#This Row],[experience_level]],Experience[],2,FALSE)</f>
        <v>Junior</v>
      </c>
      <c r="D595" t="s">
        <v>30</v>
      </c>
      <c r="E595" t="str">
        <f>VLOOKUP(SalaryInfo[[#This Row],[employment_type]],EmpType[],2,FALSE)</f>
        <v>Full Time</v>
      </c>
      <c r="F595" t="s">
        <v>12</v>
      </c>
      <c r="G595" t="s">
        <v>31</v>
      </c>
      <c r="H595">
        <v>10000</v>
      </c>
      <c r="I595" t="s">
        <v>19</v>
      </c>
      <c r="J595">
        <v>10000</v>
      </c>
      <c r="K595" t="s">
        <v>65</v>
      </c>
      <c r="L595">
        <v>100</v>
      </c>
      <c r="M595" t="s">
        <v>65</v>
      </c>
      <c r="N595" t="s">
        <v>21</v>
      </c>
      <c r="O595" t="str">
        <f>VLOOKUP(SalaryInfo[[#This Row],[company_size]],CompanySize[],2,FALSE)</f>
        <v>Small</v>
      </c>
    </row>
    <row r="596" spans="1:15">
      <c r="A596">
        <v>521</v>
      </c>
      <c r="B596">
        <v>2022</v>
      </c>
      <c r="C596" t="str">
        <f>VLOOKUP(SalaryInfo[[#This Row],[experience_level]],Experience[],2,FALSE)</f>
        <v>Junior</v>
      </c>
      <c r="D596" t="s">
        <v>30</v>
      </c>
      <c r="E596" t="str">
        <f>VLOOKUP(SalaryInfo[[#This Row],[employment_type]],EmpType[],2,FALSE)</f>
        <v>Full Time</v>
      </c>
      <c r="F596" t="s">
        <v>12</v>
      </c>
      <c r="G596" t="s">
        <v>74</v>
      </c>
      <c r="H596">
        <v>10000</v>
      </c>
      <c r="I596" t="s">
        <v>19</v>
      </c>
      <c r="J596">
        <v>10000</v>
      </c>
      <c r="K596" t="s">
        <v>47</v>
      </c>
      <c r="L596">
        <v>100</v>
      </c>
      <c r="M596" t="s">
        <v>80</v>
      </c>
      <c r="N596" t="s">
        <v>25</v>
      </c>
      <c r="O596" t="str">
        <f>VLOOKUP(SalaryInfo[[#This Row],[company_size]],CompanySize[],2,FALSE)</f>
        <v>Medium</v>
      </c>
    </row>
    <row r="597" spans="1:15">
      <c r="A597">
        <v>127</v>
      </c>
      <c r="B597">
        <v>2021</v>
      </c>
      <c r="C597" t="str">
        <f>VLOOKUP(SalaryInfo[[#This Row],[experience_level]],Experience[],2,FALSE)</f>
        <v>Intermediate</v>
      </c>
      <c r="D597" t="s">
        <v>11</v>
      </c>
      <c r="E597" t="str">
        <f>VLOOKUP(SalaryInfo[[#This Row],[employment_type]],EmpType[],2,FALSE)</f>
        <v>Full Time</v>
      </c>
      <c r="F597" t="s">
        <v>12</v>
      </c>
      <c r="G597" t="s">
        <v>13</v>
      </c>
      <c r="H597">
        <v>700000</v>
      </c>
      <c r="I597" t="s">
        <v>39</v>
      </c>
      <c r="J597">
        <v>9466</v>
      </c>
      <c r="K597" t="s">
        <v>40</v>
      </c>
      <c r="L597">
        <v>0</v>
      </c>
      <c r="M597" t="s">
        <v>40</v>
      </c>
      <c r="N597" t="s">
        <v>21</v>
      </c>
      <c r="O597" t="str">
        <f>VLOOKUP(SalaryInfo[[#This Row],[company_size]],CompanySize[],2,FALSE)</f>
        <v>Small</v>
      </c>
    </row>
    <row r="598" spans="1:15">
      <c r="A598">
        <v>196</v>
      </c>
      <c r="B598">
        <v>2021</v>
      </c>
      <c r="C598" t="str">
        <f>VLOOKUP(SalaryInfo[[#This Row],[experience_level]],Experience[],2,FALSE)</f>
        <v>Junior</v>
      </c>
      <c r="D598" t="s">
        <v>30</v>
      </c>
      <c r="E598" t="str">
        <f>VLOOKUP(SalaryInfo[[#This Row],[employment_type]],EmpType[],2,FALSE)</f>
        <v>Full Time</v>
      </c>
      <c r="F598" t="s">
        <v>12</v>
      </c>
      <c r="G598" t="s">
        <v>51</v>
      </c>
      <c r="H598">
        <v>9272</v>
      </c>
      <c r="I598" t="s">
        <v>19</v>
      </c>
      <c r="J598">
        <v>9272</v>
      </c>
      <c r="K598" t="s">
        <v>116</v>
      </c>
      <c r="L598">
        <v>100</v>
      </c>
      <c r="M598" t="s">
        <v>116</v>
      </c>
      <c r="N598" t="s">
        <v>21</v>
      </c>
      <c r="O598" t="str">
        <f>VLOOKUP(SalaryInfo[[#This Row],[company_size]],CompanySize[],2,FALSE)</f>
        <v>Small</v>
      </c>
    </row>
    <row r="599" spans="1:15">
      <c r="A599">
        <v>15</v>
      </c>
      <c r="B599">
        <v>2020</v>
      </c>
      <c r="C599" t="str">
        <f>VLOOKUP(SalaryInfo[[#This Row],[experience_level]],Experience[],2,FALSE)</f>
        <v>Intermediate</v>
      </c>
      <c r="D599" t="s">
        <v>11</v>
      </c>
      <c r="E599" t="str">
        <f>VLOOKUP(SalaryInfo[[#This Row],[employment_type]],EmpType[],2,FALSE)</f>
        <v>Full Time</v>
      </c>
      <c r="F599" t="s">
        <v>12</v>
      </c>
      <c r="G599" t="s">
        <v>31</v>
      </c>
      <c r="H599">
        <v>8000</v>
      </c>
      <c r="I599" t="s">
        <v>19</v>
      </c>
      <c r="J599">
        <v>8000</v>
      </c>
      <c r="K599" t="s">
        <v>42</v>
      </c>
      <c r="L599">
        <v>50</v>
      </c>
      <c r="M599" t="s">
        <v>42</v>
      </c>
      <c r="N599" t="s">
        <v>16</v>
      </c>
      <c r="O599" t="str">
        <f>VLOOKUP(SalaryInfo[[#This Row],[company_size]],CompanySize[],2,FALSE)</f>
        <v>Large</v>
      </c>
    </row>
    <row r="600" spans="1:15">
      <c r="A600">
        <v>21</v>
      </c>
      <c r="B600">
        <v>2020</v>
      </c>
      <c r="C600" t="str">
        <f>VLOOKUP(SalaryInfo[[#This Row],[experience_level]],Experience[],2,FALSE)</f>
        <v>Intermediate</v>
      </c>
      <c r="D600" t="s">
        <v>11</v>
      </c>
      <c r="E600" t="str">
        <f>VLOOKUP(SalaryInfo[[#This Row],[employment_type]],EmpType[],2,FALSE)</f>
        <v>Full Time</v>
      </c>
      <c r="F600" t="s">
        <v>12</v>
      </c>
      <c r="G600" t="s">
        <v>26</v>
      </c>
      <c r="H600">
        <v>450000</v>
      </c>
      <c r="I600" t="s">
        <v>39</v>
      </c>
      <c r="J600">
        <v>6072</v>
      </c>
      <c r="K600" t="s">
        <v>40</v>
      </c>
      <c r="L600">
        <v>100</v>
      </c>
      <c r="M600" t="s">
        <v>40</v>
      </c>
      <c r="N600" t="s">
        <v>16</v>
      </c>
      <c r="O600" t="str">
        <f>VLOOKUP(SalaryInfo[[#This Row],[company_size]],CompanySize[],2,FALSE)</f>
        <v>Large</v>
      </c>
    </row>
    <row r="601" spans="1:15">
      <c r="A601">
        <v>50</v>
      </c>
      <c r="B601">
        <v>2020</v>
      </c>
      <c r="C601" t="str">
        <f>VLOOKUP(SalaryInfo[[#This Row],[experience_level]],Experience[],2,FALSE)</f>
        <v>Junior</v>
      </c>
      <c r="D601" t="s">
        <v>30</v>
      </c>
      <c r="E601" t="str">
        <f>VLOOKUP(SalaryInfo[[#This Row],[employment_type]],EmpType[],2,FALSE)</f>
        <v>Full Time</v>
      </c>
      <c r="F601" t="s">
        <v>12</v>
      </c>
      <c r="G601" t="s">
        <v>31</v>
      </c>
      <c r="H601">
        <v>450000</v>
      </c>
      <c r="I601" t="s">
        <v>39</v>
      </c>
      <c r="J601">
        <v>6072</v>
      </c>
      <c r="K601" t="s">
        <v>40</v>
      </c>
      <c r="L601">
        <v>0</v>
      </c>
      <c r="M601" t="s">
        <v>40</v>
      </c>
      <c r="N601" t="s">
        <v>21</v>
      </c>
      <c r="O601" t="str">
        <f>VLOOKUP(SalaryInfo[[#This Row],[company_size]],CompanySize[],2,FALSE)</f>
        <v>Small</v>
      </c>
    </row>
    <row r="602" spans="1:15">
      <c r="A602">
        <v>213</v>
      </c>
      <c r="B602">
        <v>2021</v>
      </c>
      <c r="C602" t="str">
        <f>VLOOKUP(SalaryInfo[[#This Row],[experience_level]],Experience[],2,FALSE)</f>
        <v>Junior</v>
      </c>
      <c r="D602" t="s">
        <v>30</v>
      </c>
      <c r="E602" t="str">
        <f>VLOOKUP(SalaryInfo[[#This Row],[employment_type]],EmpType[],2,FALSE)</f>
        <v>Full Time</v>
      </c>
      <c r="F602" t="s">
        <v>12</v>
      </c>
      <c r="G602" t="s">
        <v>22</v>
      </c>
      <c r="H602">
        <v>435000</v>
      </c>
      <c r="I602" t="s">
        <v>39</v>
      </c>
      <c r="J602">
        <v>5882</v>
      </c>
      <c r="K602" t="s">
        <v>40</v>
      </c>
      <c r="L602">
        <v>0</v>
      </c>
      <c r="M602" t="s">
        <v>120</v>
      </c>
      <c r="N602" t="s">
        <v>16</v>
      </c>
      <c r="O602" t="str">
        <f>VLOOKUP(SalaryInfo[[#This Row],[company_size]],CompanySize[],2,FALSE)</f>
        <v>Large</v>
      </c>
    </row>
    <row r="603" spans="1:15">
      <c r="A603">
        <v>18</v>
      </c>
      <c r="B603">
        <v>2020</v>
      </c>
      <c r="C603" t="str">
        <f>VLOOKUP(SalaryInfo[[#This Row],[experience_level]],Experience[],2,FALSE)</f>
        <v>Junior</v>
      </c>
      <c r="D603" t="s">
        <v>30</v>
      </c>
      <c r="E603" t="str">
        <f>VLOOKUP(SalaryInfo[[#This Row],[employment_type]],EmpType[],2,FALSE)</f>
        <v>Full Time</v>
      </c>
      <c r="F603" t="s">
        <v>12</v>
      </c>
      <c r="G603" t="s">
        <v>46</v>
      </c>
      <c r="H603">
        <v>423000</v>
      </c>
      <c r="I603" t="s">
        <v>39</v>
      </c>
      <c r="J603">
        <v>5707</v>
      </c>
      <c r="K603" t="s">
        <v>40</v>
      </c>
      <c r="L603">
        <v>50</v>
      </c>
      <c r="M603" t="s">
        <v>40</v>
      </c>
      <c r="N603" t="s">
        <v>25</v>
      </c>
      <c r="O603" t="str">
        <f>VLOOKUP(SalaryInfo[[#This Row],[company_size]],CompanySize[],2,FALSE)</f>
        <v>Medium</v>
      </c>
    </row>
    <row r="604" spans="1:15">
      <c r="A604">
        <v>179</v>
      </c>
      <c r="B604">
        <v>2021</v>
      </c>
      <c r="C604" t="str">
        <f>VLOOKUP(SalaryInfo[[#This Row],[experience_level]],Experience[],2,FALSE)</f>
        <v>Intermediate</v>
      </c>
      <c r="D604" t="s">
        <v>11</v>
      </c>
      <c r="E604" t="str">
        <f>VLOOKUP(SalaryInfo[[#This Row],[employment_type]],EmpType[],2,FALSE)</f>
        <v>Full Time</v>
      </c>
      <c r="F604" t="s">
        <v>12</v>
      </c>
      <c r="G604" t="s">
        <v>13</v>
      </c>
      <c r="H604">
        <v>420000</v>
      </c>
      <c r="I604" t="s">
        <v>39</v>
      </c>
      <c r="J604">
        <v>5679</v>
      </c>
      <c r="K604" t="s">
        <v>40</v>
      </c>
      <c r="L604">
        <v>100</v>
      </c>
      <c r="M604" t="s">
        <v>29</v>
      </c>
      <c r="N604" t="s">
        <v>21</v>
      </c>
      <c r="O604" t="str">
        <f>VLOOKUP(SalaryInfo[[#This Row],[company_size]],CompanySize[],2,FALSE)</f>
        <v>Small</v>
      </c>
    </row>
    <row r="605" spans="1:15">
      <c r="A605">
        <v>77</v>
      </c>
      <c r="B605">
        <v>2021</v>
      </c>
      <c r="C605" t="str">
        <f>VLOOKUP(SalaryInfo[[#This Row],[experience_level]],Experience[],2,FALSE)</f>
        <v>Intermediate</v>
      </c>
      <c r="D605" t="s">
        <v>11</v>
      </c>
      <c r="E605" t="str">
        <f>VLOOKUP(SalaryInfo[[#This Row],[employment_type]],EmpType[],2,FALSE)</f>
        <v>Part Time</v>
      </c>
      <c r="F605" t="s">
        <v>47</v>
      </c>
      <c r="G605" t="s">
        <v>82</v>
      </c>
      <c r="H605">
        <v>400000</v>
      </c>
      <c r="I605" t="s">
        <v>39</v>
      </c>
      <c r="J605">
        <v>5409</v>
      </c>
      <c r="K605" t="s">
        <v>40</v>
      </c>
      <c r="L605">
        <v>50</v>
      </c>
      <c r="M605" t="s">
        <v>40</v>
      </c>
      <c r="N605" t="s">
        <v>25</v>
      </c>
      <c r="O605" t="str">
        <f>VLOOKUP(SalaryInfo[[#This Row],[company_size]],CompanySize[],2,FALSE)</f>
        <v>Medium</v>
      </c>
    </row>
    <row r="606" spans="1:15">
      <c r="A606">
        <v>185</v>
      </c>
      <c r="B606">
        <v>2021</v>
      </c>
      <c r="C606" t="str">
        <f>VLOOKUP(SalaryInfo[[#This Row],[experience_level]],Experience[],2,FALSE)</f>
        <v>Intermediate</v>
      </c>
      <c r="D606" t="s">
        <v>11</v>
      </c>
      <c r="E606" t="str">
        <f>VLOOKUP(SalaryInfo[[#This Row],[employment_type]],EmpType[],2,FALSE)</f>
        <v>Full Time</v>
      </c>
      <c r="F606" t="s">
        <v>12</v>
      </c>
      <c r="G606" t="s">
        <v>43</v>
      </c>
      <c r="H606">
        <v>4000</v>
      </c>
      <c r="I606" t="s">
        <v>19</v>
      </c>
      <c r="J606">
        <v>4000</v>
      </c>
      <c r="K606" t="s">
        <v>113</v>
      </c>
      <c r="L606">
        <v>100</v>
      </c>
      <c r="M606" t="s">
        <v>113</v>
      </c>
      <c r="N606" t="s">
        <v>25</v>
      </c>
      <c r="O606" t="str">
        <f>VLOOKUP(SalaryInfo[[#This Row],[company_size]],CompanySize[],2,FALSE)</f>
        <v>Medium</v>
      </c>
    </row>
    <row r="607" spans="1:15">
      <c r="A607">
        <v>238</v>
      </c>
      <c r="B607">
        <v>2021</v>
      </c>
      <c r="C607" t="str">
        <f>VLOOKUP(SalaryInfo[[#This Row],[experience_level]],Experience[],2,FALSE)</f>
        <v>Junior</v>
      </c>
      <c r="D607" t="s">
        <v>30</v>
      </c>
      <c r="E607" t="str">
        <f>VLOOKUP(SalaryInfo[[#This Row],[employment_type]],EmpType[],2,FALSE)</f>
        <v>Full Time</v>
      </c>
      <c r="F607" t="s">
        <v>12</v>
      </c>
      <c r="G607" t="s">
        <v>13</v>
      </c>
      <c r="H607">
        <v>4000</v>
      </c>
      <c r="I607" t="s">
        <v>19</v>
      </c>
      <c r="J607">
        <v>4000</v>
      </c>
      <c r="K607" t="s">
        <v>101</v>
      </c>
      <c r="L607">
        <v>0</v>
      </c>
      <c r="M607" t="s">
        <v>101</v>
      </c>
      <c r="N607" t="s">
        <v>25</v>
      </c>
      <c r="O607" t="str">
        <f>VLOOKUP(SalaryInfo[[#This Row],[company_size]],CompanySize[],2,FALSE)</f>
        <v>Medium</v>
      </c>
    </row>
    <row r="608" spans="1:15">
      <c r="A608">
        <v>176</v>
      </c>
      <c r="B608">
        <v>2021</v>
      </c>
      <c r="C608" t="str">
        <f>VLOOKUP(SalaryInfo[[#This Row],[experience_level]],Experience[],2,FALSE)</f>
        <v>Intermediate</v>
      </c>
      <c r="D608" t="s">
        <v>11</v>
      </c>
      <c r="E608" t="str">
        <f>VLOOKUP(SalaryInfo[[#This Row],[employment_type]],EmpType[],2,FALSE)</f>
        <v>Full Time</v>
      </c>
      <c r="F608" t="s">
        <v>12</v>
      </c>
      <c r="G608" t="s">
        <v>13</v>
      </c>
      <c r="H608">
        <v>58000</v>
      </c>
      <c r="I608" t="s">
        <v>57</v>
      </c>
      <c r="J608">
        <v>2859</v>
      </c>
      <c r="K608" t="s">
        <v>58</v>
      </c>
      <c r="L608">
        <v>0</v>
      </c>
      <c r="M608" t="s">
        <v>58</v>
      </c>
      <c r="N608" t="s">
        <v>21</v>
      </c>
      <c r="O608" t="str">
        <f>VLOOKUP(SalaryInfo[[#This Row],[company_size]],CompanySize[],2,FALSE)</f>
        <v>Small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6"/>
  <sheetViews>
    <sheetView workbookViewId="0">
      <selection activeCell="J11" sqref="J11"/>
    </sheetView>
  </sheetViews>
  <sheetFormatPr defaultRowHeight="15"/>
  <cols>
    <col min="1" max="1" width="11" customWidth="1"/>
    <col min="2" max="2" width="12.42578125" customWidth="1"/>
    <col min="3" max="3" width="13" customWidth="1"/>
    <col min="4" max="4" width="11.28515625" customWidth="1"/>
    <col min="5" max="5" width="10.7109375" customWidth="1"/>
    <col min="7" max="7" width="16.85546875" customWidth="1"/>
    <col min="8" max="8" width="15.140625" customWidth="1"/>
    <col min="9" max="9" width="21.85546875" customWidth="1"/>
    <col min="10" max="10" width="14.85546875" customWidth="1"/>
    <col min="11" max="11" width="19.28515625" customWidth="1"/>
  </cols>
  <sheetData>
    <row r="1" spans="1:12">
      <c r="A1" t="s">
        <v>166</v>
      </c>
      <c r="B1" t="s">
        <v>0</v>
      </c>
      <c r="C1" t="s">
        <v>172</v>
      </c>
      <c r="D1" t="s">
        <v>180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186</v>
      </c>
    </row>
    <row r="2" spans="1:12">
      <c r="A2">
        <v>179</v>
      </c>
      <c r="B2">
        <v>2021</v>
      </c>
      <c r="C2" t="s">
        <v>164</v>
      </c>
      <c r="D2" t="s">
        <v>177</v>
      </c>
      <c r="E2" t="s">
        <v>13</v>
      </c>
      <c r="F2">
        <v>420000</v>
      </c>
      <c r="G2" t="s">
        <v>39</v>
      </c>
      <c r="H2">
        <v>5679</v>
      </c>
      <c r="I2" t="s">
        <v>40</v>
      </c>
      <c r="J2">
        <v>100</v>
      </c>
      <c r="K2" t="s">
        <v>29</v>
      </c>
      <c r="L2" t="s">
        <v>169</v>
      </c>
    </row>
    <row r="3" spans="1:12">
      <c r="A3">
        <v>96</v>
      </c>
      <c r="B3">
        <v>2021</v>
      </c>
      <c r="C3" t="s">
        <v>163</v>
      </c>
      <c r="D3" t="s">
        <v>176</v>
      </c>
      <c r="E3" t="s">
        <v>70</v>
      </c>
      <c r="F3">
        <v>12000</v>
      </c>
      <c r="G3" t="s">
        <v>19</v>
      </c>
      <c r="H3">
        <v>12000</v>
      </c>
      <c r="I3" t="s">
        <v>91</v>
      </c>
      <c r="J3">
        <v>100</v>
      </c>
      <c r="K3" t="s">
        <v>29</v>
      </c>
      <c r="L3" t="s">
        <v>169</v>
      </c>
    </row>
    <row r="4" spans="1:12">
      <c r="A4">
        <v>113</v>
      </c>
      <c r="B4">
        <v>2021</v>
      </c>
      <c r="C4" t="s">
        <v>163</v>
      </c>
      <c r="D4" t="s">
        <v>176</v>
      </c>
      <c r="E4" t="s">
        <v>70</v>
      </c>
      <c r="F4">
        <v>12000</v>
      </c>
      <c r="G4" t="s">
        <v>19</v>
      </c>
      <c r="H4">
        <v>12000</v>
      </c>
      <c r="I4" t="s">
        <v>42</v>
      </c>
      <c r="J4">
        <v>100</v>
      </c>
      <c r="K4" t="s">
        <v>29</v>
      </c>
      <c r="L4" t="s">
        <v>170</v>
      </c>
    </row>
    <row r="5" spans="1:12">
      <c r="A5">
        <v>208</v>
      </c>
      <c r="B5">
        <v>2021</v>
      </c>
      <c r="C5" t="s">
        <v>164</v>
      </c>
      <c r="D5" t="s">
        <v>179</v>
      </c>
      <c r="E5" t="s">
        <v>43</v>
      </c>
      <c r="F5">
        <v>20000</v>
      </c>
      <c r="G5" t="s">
        <v>19</v>
      </c>
      <c r="H5">
        <v>20000</v>
      </c>
      <c r="I5" t="s">
        <v>77</v>
      </c>
      <c r="J5">
        <v>0</v>
      </c>
      <c r="K5" t="s">
        <v>29</v>
      </c>
      <c r="L5" t="s">
        <v>171</v>
      </c>
    </row>
    <row r="6" spans="1:12">
      <c r="A6">
        <v>579</v>
      </c>
      <c r="B6">
        <v>2022</v>
      </c>
      <c r="C6" t="s">
        <v>173</v>
      </c>
      <c r="D6" t="s">
        <v>177</v>
      </c>
      <c r="E6" t="s">
        <v>43</v>
      </c>
      <c r="F6">
        <v>25000</v>
      </c>
      <c r="G6" t="s">
        <v>19</v>
      </c>
      <c r="H6">
        <v>25000</v>
      </c>
      <c r="I6" t="s">
        <v>29</v>
      </c>
      <c r="J6">
        <v>100</v>
      </c>
      <c r="K6" t="s">
        <v>29</v>
      </c>
      <c r="L6" t="s">
        <v>170</v>
      </c>
    </row>
    <row r="7" spans="1:12">
      <c r="A7">
        <v>182</v>
      </c>
      <c r="B7">
        <v>2021</v>
      </c>
      <c r="C7" t="s">
        <v>164</v>
      </c>
      <c r="D7" t="s">
        <v>177</v>
      </c>
      <c r="E7" t="s">
        <v>43</v>
      </c>
      <c r="F7">
        <v>22000</v>
      </c>
      <c r="G7" t="s">
        <v>14</v>
      </c>
      <c r="H7">
        <v>26005</v>
      </c>
      <c r="I7" t="s">
        <v>96</v>
      </c>
      <c r="J7">
        <v>0</v>
      </c>
      <c r="K7" t="s">
        <v>29</v>
      </c>
      <c r="L7" t="s">
        <v>171</v>
      </c>
    </row>
    <row r="8" spans="1:12">
      <c r="A8">
        <v>102</v>
      </c>
      <c r="B8">
        <v>2021</v>
      </c>
      <c r="C8" t="s">
        <v>164</v>
      </c>
      <c r="D8" t="s">
        <v>177</v>
      </c>
      <c r="E8" t="s">
        <v>51</v>
      </c>
      <c r="F8">
        <v>11000000</v>
      </c>
      <c r="G8" t="s">
        <v>33</v>
      </c>
      <c r="H8">
        <v>36259</v>
      </c>
      <c r="I8" t="s">
        <v>34</v>
      </c>
      <c r="J8">
        <v>50</v>
      </c>
      <c r="K8" t="s">
        <v>29</v>
      </c>
      <c r="L8" t="s">
        <v>171</v>
      </c>
    </row>
    <row r="9" spans="1:12">
      <c r="A9">
        <v>455</v>
      </c>
      <c r="B9">
        <v>2022</v>
      </c>
      <c r="C9" t="s">
        <v>164</v>
      </c>
      <c r="D9" t="s">
        <v>177</v>
      </c>
      <c r="E9" t="s">
        <v>135</v>
      </c>
      <c r="F9">
        <v>240000</v>
      </c>
      <c r="G9" t="s">
        <v>48</v>
      </c>
      <c r="H9">
        <v>37236</v>
      </c>
      <c r="I9" t="s">
        <v>29</v>
      </c>
      <c r="J9">
        <v>50</v>
      </c>
      <c r="K9" t="s">
        <v>29</v>
      </c>
      <c r="L9" t="s">
        <v>171</v>
      </c>
    </row>
    <row r="10" spans="1:12">
      <c r="A10">
        <v>132</v>
      </c>
      <c r="B10">
        <v>2021</v>
      </c>
      <c r="C10" t="s">
        <v>164</v>
      </c>
      <c r="D10" t="s">
        <v>177</v>
      </c>
      <c r="E10" t="s">
        <v>100</v>
      </c>
      <c r="F10">
        <v>38400</v>
      </c>
      <c r="G10" t="s">
        <v>19</v>
      </c>
      <c r="H10">
        <v>38400</v>
      </c>
      <c r="I10" t="s">
        <v>101</v>
      </c>
      <c r="J10">
        <v>100</v>
      </c>
      <c r="K10" t="s">
        <v>29</v>
      </c>
      <c r="L10" t="s">
        <v>170</v>
      </c>
    </row>
    <row r="11" spans="1:12">
      <c r="A11">
        <v>40</v>
      </c>
      <c r="B11">
        <v>2020</v>
      </c>
      <c r="C11" t="s">
        <v>164</v>
      </c>
      <c r="D11" t="s">
        <v>177</v>
      </c>
      <c r="E11" t="s">
        <v>13</v>
      </c>
      <c r="F11">
        <v>45760</v>
      </c>
      <c r="G11" t="s">
        <v>19</v>
      </c>
      <c r="H11">
        <v>45760</v>
      </c>
      <c r="I11" t="s">
        <v>66</v>
      </c>
      <c r="J11">
        <v>100</v>
      </c>
      <c r="K11" t="s">
        <v>29</v>
      </c>
      <c r="L11" t="s">
        <v>169</v>
      </c>
    </row>
    <row r="12" spans="1:12">
      <c r="A12">
        <v>515</v>
      </c>
      <c r="B12">
        <v>2022</v>
      </c>
      <c r="C12" t="s">
        <v>164</v>
      </c>
      <c r="D12" t="s">
        <v>177</v>
      </c>
      <c r="E12" t="s">
        <v>13</v>
      </c>
      <c r="F12">
        <v>48000</v>
      </c>
      <c r="G12" t="s">
        <v>19</v>
      </c>
      <c r="H12">
        <v>48000</v>
      </c>
      <c r="I12" t="s">
        <v>75</v>
      </c>
      <c r="J12">
        <v>100</v>
      </c>
      <c r="K12" t="s">
        <v>29</v>
      </c>
      <c r="L12" t="s">
        <v>169</v>
      </c>
    </row>
    <row r="13" spans="1:12">
      <c r="A13">
        <v>471</v>
      </c>
      <c r="B13">
        <v>2022</v>
      </c>
      <c r="C13" t="s">
        <v>164</v>
      </c>
      <c r="D13" t="s">
        <v>177</v>
      </c>
      <c r="E13" t="s">
        <v>31</v>
      </c>
      <c r="F13">
        <v>50000</v>
      </c>
      <c r="G13" t="s">
        <v>19</v>
      </c>
      <c r="H13">
        <v>50000</v>
      </c>
      <c r="I13" t="s">
        <v>29</v>
      </c>
      <c r="J13">
        <v>100</v>
      </c>
      <c r="K13" t="s">
        <v>29</v>
      </c>
      <c r="L13" t="s">
        <v>170</v>
      </c>
    </row>
    <row r="14" spans="1:12">
      <c r="A14">
        <v>122</v>
      </c>
      <c r="B14">
        <v>2021</v>
      </c>
      <c r="C14" t="s">
        <v>163</v>
      </c>
      <c r="D14" t="s">
        <v>177</v>
      </c>
      <c r="E14" t="s">
        <v>31</v>
      </c>
      <c r="F14">
        <v>50000</v>
      </c>
      <c r="G14" t="s">
        <v>19</v>
      </c>
      <c r="H14">
        <v>50000</v>
      </c>
      <c r="I14" t="s">
        <v>29</v>
      </c>
      <c r="J14">
        <v>100</v>
      </c>
      <c r="K14" t="s">
        <v>29</v>
      </c>
      <c r="L14" t="s">
        <v>170</v>
      </c>
    </row>
    <row r="15" spans="1:12">
      <c r="A15">
        <v>203</v>
      </c>
      <c r="B15">
        <v>2021</v>
      </c>
      <c r="C15" t="s">
        <v>173</v>
      </c>
      <c r="D15" t="s">
        <v>177</v>
      </c>
      <c r="E15" t="s">
        <v>55</v>
      </c>
      <c r="F15">
        <v>50000</v>
      </c>
      <c r="G15" t="s">
        <v>19</v>
      </c>
      <c r="H15">
        <v>50000</v>
      </c>
      <c r="I15" t="s">
        <v>38</v>
      </c>
      <c r="J15">
        <v>100</v>
      </c>
      <c r="K15" t="s">
        <v>29</v>
      </c>
      <c r="L15" t="s">
        <v>169</v>
      </c>
    </row>
    <row r="16" spans="1:12">
      <c r="A16">
        <v>565</v>
      </c>
      <c r="B16">
        <v>2022</v>
      </c>
      <c r="C16" t="s">
        <v>173</v>
      </c>
      <c r="D16" t="s">
        <v>177</v>
      </c>
      <c r="E16" t="s">
        <v>43</v>
      </c>
      <c r="F16">
        <v>54000</v>
      </c>
      <c r="G16" t="s">
        <v>19</v>
      </c>
      <c r="H16">
        <v>54000</v>
      </c>
      <c r="I16" t="s">
        <v>29</v>
      </c>
      <c r="J16">
        <v>0</v>
      </c>
      <c r="K16" t="s">
        <v>29</v>
      </c>
      <c r="L16" t="s">
        <v>170</v>
      </c>
    </row>
    <row r="17" spans="1:12">
      <c r="A17">
        <v>198</v>
      </c>
      <c r="B17">
        <v>2021</v>
      </c>
      <c r="C17" t="s">
        <v>173</v>
      </c>
      <c r="D17" t="s">
        <v>177</v>
      </c>
      <c r="E17" t="s">
        <v>79</v>
      </c>
      <c r="F17">
        <v>4000000</v>
      </c>
      <c r="G17" t="s">
        <v>39</v>
      </c>
      <c r="H17">
        <v>54094</v>
      </c>
      <c r="I17" t="s">
        <v>40</v>
      </c>
      <c r="J17">
        <v>50</v>
      </c>
      <c r="K17" t="s">
        <v>29</v>
      </c>
      <c r="L17" t="s">
        <v>171</v>
      </c>
    </row>
    <row r="18" spans="1:12">
      <c r="A18">
        <v>168</v>
      </c>
      <c r="B18">
        <v>2021</v>
      </c>
      <c r="C18" t="s">
        <v>163</v>
      </c>
      <c r="D18" t="s">
        <v>177</v>
      </c>
      <c r="E18" t="s">
        <v>51</v>
      </c>
      <c r="F18">
        <v>55000</v>
      </c>
      <c r="G18" t="s">
        <v>19</v>
      </c>
      <c r="H18">
        <v>55000</v>
      </c>
      <c r="I18" t="s">
        <v>29</v>
      </c>
      <c r="J18">
        <v>50</v>
      </c>
      <c r="K18" t="s">
        <v>29</v>
      </c>
      <c r="L18" t="s">
        <v>169</v>
      </c>
    </row>
    <row r="19" spans="1:12">
      <c r="A19">
        <v>19</v>
      </c>
      <c r="B19">
        <v>2020</v>
      </c>
      <c r="C19" t="s">
        <v>164</v>
      </c>
      <c r="D19" t="s">
        <v>177</v>
      </c>
      <c r="E19" t="s">
        <v>36</v>
      </c>
      <c r="F19">
        <v>56000</v>
      </c>
      <c r="G19" t="s">
        <v>19</v>
      </c>
      <c r="H19">
        <v>56000</v>
      </c>
      <c r="I19" t="s">
        <v>47</v>
      </c>
      <c r="J19">
        <v>100</v>
      </c>
      <c r="K19" t="s">
        <v>29</v>
      </c>
      <c r="L19" t="s">
        <v>170</v>
      </c>
    </row>
    <row r="20" spans="1:12">
      <c r="A20">
        <v>367</v>
      </c>
      <c r="B20">
        <v>2022</v>
      </c>
      <c r="C20" t="s">
        <v>164</v>
      </c>
      <c r="D20" t="s">
        <v>177</v>
      </c>
      <c r="E20" t="s">
        <v>31</v>
      </c>
      <c r="F20">
        <v>58000</v>
      </c>
      <c r="G20" t="s">
        <v>19</v>
      </c>
      <c r="H20">
        <v>58000</v>
      </c>
      <c r="I20" t="s">
        <v>29</v>
      </c>
      <c r="J20">
        <v>0</v>
      </c>
      <c r="K20" t="s">
        <v>29</v>
      </c>
      <c r="L20" t="s">
        <v>169</v>
      </c>
    </row>
    <row r="21" spans="1:12">
      <c r="A21">
        <v>406</v>
      </c>
      <c r="B21">
        <v>2022</v>
      </c>
      <c r="C21" t="s">
        <v>164</v>
      </c>
      <c r="D21" t="s">
        <v>177</v>
      </c>
      <c r="E21" t="s">
        <v>31</v>
      </c>
      <c r="F21">
        <v>58000</v>
      </c>
      <c r="G21" t="s">
        <v>19</v>
      </c>
      <c r="H21">
        <v>58000</v>
      </c>
      <c r="I21" t="s">
        <v>29</v>
      </c>
      <c r="J21">
        <v>0</v>
      </c>
      <c r="K21" t="s">
        <v>29</v>
      </c>
      <c r="L21" t="s">
        <v>169</v>
      </c>
    </row>
    <row r="22" spans="1:12">
      <c r="A22">
        <v>276</v>
      </c>
      <c r="B22">
        <v>2021</v>
      </c>
      <c r="C22" t="s">
        <v>163</v>
      </c>
      <c r="D22" t="s">
        <v>177</v>
      </c>
      <c r="E22" t="s">
        <v>13</v>
      </c>
      <c r="F22">
        <v>58000</v>
      </c>
      <c r="G22" t="s">
        <v>19</v>
      </c>
      <c r="H22">
        <v>58000</v>
      </c>
      <c r="I22" t="s">
        <v>29</v>
      </c>
      <c r="J22">
        <v>50</v>
      </c>
      <c r="K22" t="s">
        <v>29</v>
      </c>
      <c r="L22" t="s">
        <v>171</v>
      </c>
    </row>
    <row r="23" spans="1:12">
      <c r="A23">
        <v>54</v>
      </c>
      <c r="B23">
        <v>2020</v>
      </c>
      <c r="C23" t="s">
        <v>173</v>
      </c>
      <c r="D23" t="s">
        <v>179</v>
      </c>
      <c r="E23" t="s">
        <v>74</v>
      </c>
      <c r="F23">
        <v>60000</v>
      </c>
      <c r="G23" t="s">
        <v>19</v>
      </c>
      <c r="H23">
        <v>60000</v>
      </c>
      <c r="I23" t="s">
        <v>75</v>
      </c>
      <c r="J23">
        <v>100</v>
      </c>
      <c r="K23" t="s">
        <v>29</v>
      </c>
      <c r="L23" t="s">
        <v>169</v>
      </c>
    </row>
    <row r="24" spans="1:12">
      <c r="A24">
        <v>172</v>
      </c>
      <c r="B24">
        <v>2021</v>
      </c>
      <c r="C24" t="s">
        <v>163</v>
      </c>
      <c r="D24" t="s">
        <v>177</v>
      </c>
      <c r="E24" t="s">
        <v>31</v>
      </c>
      <c r="F24">
        <v>60000</v>
      </c>
      <c r="G24" t="s">
        <v>19</v>
      </c>
      <c r="H24">
        <v>60000</v>
      </c>
      <c r="I24" t="s">
        <v>29</v>
      </c>
      <c r="J24">
        <v>100</v>
      </c>
      <c r="K24" t="s">
        <v>29</v>
      </c>
      <c r="L24" t="s">
        <v>169</v>
      </c>
    </row>
    <row r="25" spans="1:12">
      <c r="A25">
        <v>589</v>
      </c>
      <c r="B25">
        <v>2022</v>
      </c>
      <c r="C25" t="s">
        <v>173</v>
      </c>
      <c r="D25" t="s">
        <v>177</v>
      </c>
      <c r="E25" t="s">
        <v>31</v>
      </c>
      <c r="F25">
        <v>60000</v>
      </c>
      <c r="G25" t="s">
        <v>19</v>
      </c>
      <c r="H25">
        <v>60000</v>
      </c>
      <c r="I25" t="s">
        <v>29</v>
      </c>
      <c r="J25">
        <v>100</v>
      </c>
      <c r="K25" t="s">
        <v>29</v>
      </c>
      <c r="L25" t="s">
        <v>170</v>
      </c>
    </row>
    <row r="26" spans="1:12">
      <c r="A26">
        <v>103</v>
      </c>
      <c r="B26">
        <v>2021</v>
      </c>
      <c r="C26" t="s">
        <v>164</v>
      </c>
      <c r="D26" t="s">
        <v>177</v>
      </c>
      <c r="E26" t="s">
        <v>31</v>
      </c>
      <c r="F26">
        <v>62000</v>
      </c>
      <c r="G26" t="s">
        <v>19</v>
      </c>
      <c r="H26">
        <v>62000</v>
      </c>
      <c r="I26" t="s">
        <v>29</v>
      </c>
      <c r="J26">
        <v>0</v>
      </c>
      <c r="K26" t="s">
        <v>29</v>
      </c>
      <c r="L26" t="s">
        <v>171</v>
      </c>
    </row>
    <row r="27" spans="1:12">
      <c r="A27">
        <v>418</v>
      </c>
      <c r="B27">
        <v>2022</v>
      </c>
      <c r="C27" t="s">
        <v>164</v>
      </c>
      <c r="D27" t="s">
        <v>177</v>
      </c>
      <c r="E27" t="s">
        <v>43</v>
      </c>
      <c r="F27">
        <v>63900</v>
      </c>
      <c r="G27" t="s">
        <v>19</v>
      </c>
      <c r="H27">
        <v>63900</v>
      </c>
      <c r="I27" t="s">
        <v>29</v>
      </c>
      <c r="J27">
        <v>0</v>
      </c>
      <c r="K27" t="s">
        <v>29</v>
      </c>
      <c r="L27" t="s">
        <v>170</v>
      </c>
    </row>
    <row r="28" spans="1:12">
      <c r="A28">
        <v>512</v>
      </c>
      <c r="B28">
        <v>2022</v>
      </c>
      <c r="C28" t="s">
        <v>163</v>
      </c>
      <c r="D28" t="s">
        <v>177</v>
      </c>
      <c r="E28" t="s">
        <v>43</v>
      </c>
      <c r="F28">
        <v>65000</v>
      </c>
      <c r="G28" t="s">
        <v>19</v>
      </c>
      <c r="H28">
        <v>65000</v>
      </c>
      <c r="I28" t="s">
        <v>29</v>
      </c>
      <c r="J28">
        <v>100</v>
      </c>
      <c r="K28" t="s">
        <v>29</v>
      </c>
      <c r="L28" t="s">
        <v>169</v>
      </c>
    </row>
    <row r="29" spans="1:12">
      <c r="A29">
        <v>32</v>
      </c>
      <c r="B29">
        <v>2020</v>
      </c>
      <c r="C29" t="s">
        <v>173</v>
      </c>
      <c r="D29" t="s">
        <v>177</v>
      </c>
      <c r="E29" t="s">
        <v>13</v>
      </c>
      <c r="F29">
        <v>60000</v>
      </c>
      <c r="G29" t="s">
        <v>14</v>
      </c>
      <c r="H29">
        <v>68428</v>
      </c>
      <c r="I29" t="s">
        <v>50</v>
      </c>
      <c r="J29">
        <v>100</v>
      </c>
      <c r="K29" t="s">
        <v>29</v>
      </c>
      <c r="L29" t="s">
        <v>171</v>
      </c>
    </row>
    <row r="30" spans="1:12">
      <c r="A30">
        <v>573</v>
      </c>
      <c r="B30">
        <v>2022</v>
      </c>
      <c r="C30" t="s">
        <v>173</v>
      </c>
      <c r="D30" t="s">
        <v>177</v>
      </c>
      <c r="E30" t="s">
        <v>31</v>
      </c>
      <c r="F30">
        <v>69000</v>
      </c>
      <c r="G30" t="s">
        <v>19</v>
      </c>
      <c r="H30">
        <v>69000</v>
      </c>
      <c r="I30" t="s">
        <v>29</v>
      </c>
      <c r="J30">
        <v>100</v>
      </c>
      <c r="K30" t="s">
        <v>29</v>
      </c>
      <c r="L30" t="s">
        <v>170</v>
      </c>
    </row>
    <row r="31" spans="1:12">
      <c r="A31">
        <v>31</v>
      </c>
      <c r="B31">
        <v>2020</v>
      </c>
      <c r="C31" t="s">
        <v>163</v>
      </c>
      <c r="D31" t="s">
        <v>177</v>
      </c>
      <c r="E31" t="s">
        <v>22</v>
      </c>
      <c r="F31">
        <v>70000</v>
      </c>
      <c r="G31" t="s">
        <v>19</v>
      </c>
      <c r="H31">
        <v>70000</v>
      </c>
      <c r="I31" t="s">
        <v>29</v>
      </c>
      <c r="J31">
        <v>100</v>
      </c>
      <c r="K31" t="s">
        <v>29</v>
      </c>
      <c r="L31" t="s">
        <v>171</v>
      </c>
    </row>
    <row r="32" spans="1:12">
      <c r="A32">
        <v>98</v>
      </c>
      <c r="B32">
        <v>2021</v>
      </c>
      <c r="C32" t="s">
        <v>163</v>
      </c>
      <c r="D32" t="s">
        <v>177</v>
      </c>
      <c r="E32" t="s">
        <v>93</v>
      </c>
      <c r="F32">
        <v>70000</v>
      </c>
      <c r="G32" t="s">
        <v>19</v>
      </c>
      <c r="H32">
        <v>70000</v>
      </c>
      <c r="I32" t="s">
        <v>29</v>
      </c>
      <c r="J32">
        <v>100</v>
      </c>
      <c r="K32" t="s">
        <v>29</v>
      </c>
      <c r="L32" t="s">
        <v>170</v>
      </c>
    </row>
    <row r="33" spans="1:12">
      <c r="A33">
        <v>557</v>
      </c>
      <c r="B33">
        <v>2022</v>
      </c>
      <c r="C33" t="s">
        <v>173</v>
      </c>
      <c r="D33" t="s">
        <v>177</v>
      </c>
      <c r="E33" t="s">
        <v>43</v>
      </c>
      <c r="F33">
        <v>70500</v>
      </c>
      <c r="G33" t="s">
        <v>19</v>
      </c>
      <c r="H33">
        <v>70500</v>
      </c>
      <c r="I33" t="s">
        <v>29</v>
      </c>
      <c r="J33">
        <v>0</v>
      </c>
      <c r="K33" t="s">
        <v>29</v>
      </c>
      <c r="L33" t="s">
        <v>170</v>
      </c>
    </row>
    <row r="34" spans="1:12">
      <c r="A34">
        <v>5</v>
      </c>
      <c r="B34">
        <v>2020</v>
      </c>
      <c r="C34" t="s">
        <v>163</v>
      </c>
      <c r="D34" t="s">
        <v>177</v>
      </c>
      <c r="E34" t="s">
        <v>31</v>
      </c>
      <c r="F34">
        <v>72000</v>
      </c>
      <c r="G34" t="s">
        <v>19</v>
      </c>
      <c r="H34">
        <v>72000</v>
      </c>
      <c r="I34" t="s">
        <v>29</v>
      </c>
      <c r="J34">
        <v>100</v>
      </c>
      <c r="K34" t="s">
        <v>29</v>
      </c>
      <c r="L34" t="s">
        <v>171</v>
      </c>
    </row>
    <row r="35" spans="1:12">
      <c r="A35">
        <v>270</v>
      </c>
      <c r="B35">
        <v>2021</v>
      </c>
      <c r="C35" t="s">
        <v>163</v>
      </c>
      <c r="D35" t="s">
        <v>177</v>
      </c>
      <c r="E35" t="s">
        <v>43</v>
      </c>
      <c r="F35">
        <v>72500</v>
      </c>
      <c r="G35" t="s">
        <v>19</v>
      </c>
      <c r="H35">
        <v>72500</v>
      </c>
      <c r="I35" t="s">
        <v>29</v>
      </c>
      <c r="J35">
        <v>100</v>
      </c>
      <c r="K35" t="s">
        <v>29</v>
      </c>
      <c r="L35" t="s">
        <v>171</v>
      </c>
    </row>
    <row r="36" spans="1:12">
      <c r="A36">
        <v>104</v>
      </c>
      <c r="B36">
        <v>2021</v>
      </c>
      <c r="C36" t="s">
        <v>164</v>
      </c>
      <c r="D36" t="s">
        <v>177</v>
      </c>
      <c r="E36" t="s">
        <v>13</v>
      </c>
      <c r="F36">
        <v>73000</v>
      </c>
      <c r="G36" t="s">
        <v>19</v>
      </c>
      <c r="H36">
        <v>73000</v>
      </c>
      <c r="I36" t="s">
        <v>29</v>
      </c>
      <c r="J36">
        <v>0</v>
      </c>
      <c r="K36" t="s">
        <v>29</v>
      </c>
      <c r="L36" t="s">
        <v>171</v>
      </c>
    </row>
    <row r="37" spans="1:12">
      <c r="A37">
        <v>100</v>
      </c>
      <c r="B37">
        <v>2021</v>
      </c>
      <c r="C37" t="s">
        <v>164</v>
      </c>
      <c r="D37" t="s">
        <v>177</v>
      </c>
      <c r="E37" t="s">
        <v>31</v>
      </c>
      <c r="F37">
        <v>75000</v>
      </c>
      <c r="G37" t="s">
        <v>19</v>
      </c>
      <c r="H37">
        <v>75000</v>
      </c>
      <c r="I37" t="s">
        <v>29</v>
      </c>
      <c r="J37">
        <v>0</v>
      </c>
      <c r="K37" t="s">
        <v>29</v>
      </c>
      <c r="L37" t="s">
        <v>171</v>
      </c>
    </row>
    <row r="38" spans="1:12">
      <c r="A38">
        <v>506</v>
      </c>
      <c r="B38">
        <v>2022</v>
      </c>
      <c r="C38" t="s">
        <v>164</v>
      </c>
      <c r="D38" t="s">
        <v>177</v>
      </c>
      <c r="E38" t="s">
        <v>100</v>
      </c>
      <c r="F38">
        <v>75000</v>
      </c>
      <c r="G38" t="s">
        <v>19</v>
      </c>
      <c r="H38">
        <v>75000</v>
      </c>
      <c r="I38" t="s">
        <v>143</v>
      </c>
      <c r="J38">
        <v>100</v>
      </c>
      <c r="K38" t="s">
        <v>29</v>
      </c>
      <c r="L38" t="s">
        <v>171</v>
      </c>
    </row>
    <row r="39" spans="1:12">
      <c r="A39">
        <v>526</v>
      </c>
      <c r="B39">
        <v>2022</v>
      </c>
      <c r="C39" t="s">
        <v>164</v>
      </c>
      <c r="D39" t="s">
        <v>177</v>
      </c>
      <c r="E39" t="s">
        <v>13</v>
      </c>
      <c r="F39">
        <v>78000</v>
      </c>
      <c r="G39" t="s">
        <v>19</v>
      </c>
      <c r="H39">
        <v>78000</v>
      </c>
      <c r="I39" t="s">
        <v>29</v>
      </c>
      <c r="J39">
        <v>100</v>
      </c>
      <c r="K39" t="s">
        <v>29</v>
      </c>
      <c r="L39" t="s">
        <v>170</v>
      </c>
    </row>
    <row r="40" spans="1:12">
      <c r="A40">
        <v>241</v>
      </c>
      <c r="B40">
        <v>2021</v>
      </c>
      <c r="C40" t="s">
        <v>164</v>
      </c>
      <c r="D40" t="s">
        <v>177</v>
      </c>
      <c r="E40" t="s">
        <v>31</v>
      </c>
      <c r="F40">
        <v>80000</v>
      </c>
      <c r="G40" t="s">
        <v>19</v>
      </c>
      <c r="H40">
        <v>80000</v>
      </c>
      <c r="I40" t="s">
        <v>29</v>
      </c>
      <c r="J40">
        <v>100</v>
      </c>
      <c r="K40" t="s">
        <v>29</v>
      </c>
      <c r="L40" t="s">
        <v>171</v>
      </c>
    </row>
    <row r="41" spans="1:12">
      <c r="A41">
        <v>79</v>
      </c>
      <c r="B41">
        <v>2021</v>
      </c>
      <c r="C41" t="s">
        <v>163</v>
      </c>
      <c r="D41" t="s">
        <v>177</v>
      </c>
      <c r="E41" t="s">
        <v>31</v>
      </c>
      <c r="F41">
        <v>80000</v>
      </c>
      <c r="G41" t="s">
        <v>19</v>
      </c>
      <c r="H41">
        <v>80000</v>
      </c>
      <c r="I41" t="s">
        <v>29</v>
      </c>
      <c r="J41">
        <v>100</v>
      </c>
      <c r="K41" t="s">
        <v>29</v>
      </c>
      <c r="L41" t="s">
        <v>170</v>
      </c>
    </row>
    <row r="42" spans="1:12">
      <c r="A42">
        <v>89</v>
      </c>
      <c r="B42">
        <v>2021</v>
      </c>
      <c r="C42" t="s">
        <v>173</v>
      </c>
      <c r="D42" t="s">
        <v>177</v>
      </c>
      <c r="E42" t="s">
        <v>31</v>
      </c>
      <c r="F42">
        <v>80000</v>
      </c>
      <c r="G42" t="s">
        <v>19</v>
      </c>
      <c r="H42">
        <v>80000</v>
      </c>
      <c r="I42" t="s">
        <v>86</v>
      </c>
      <c r="J42">
        <v>100</v>
      </c>
      <c r="K42" t="s">
        <v>29</v>
      </c>
      <c r="L42" t="s">
        <v>169</v>
      </c>
    </row>
    <row r="43" spans="1:12">
      <c r="A43">
        <v>139</v>
      </c>
      <c r="B43">
        <v>2021</v>
      </c>
      <c r="C43" t="s">
        <v>163</v>
      </c>
      <c r="D43" t="s">
        <v>177</v>
      </c>
      <c r="E43" t="s">
        <v>13</v>
      </c>
      <c r="F43">
        <v>80000</v>
      </c>
      <c r="G43" t="s">
        <v>19</v>
      </c>
      <c r="H43">
        <v>80000</v>
      </c>
      <c r="I43" t="s">
        <v>29</v>
      </c>
      <c r="J43">
        <v>100</v>
      </c>
      <c r="K43" t="s">
        <v>29</v>
      </c>
      <c r="L43" t="s">
        <v>170</v>
      </c>
    </row>
    <row r="44" spans="1:12">
      <c r="A44">
        <v>166</v>
      </c>
      <c r="B44">
        <v>2021</v>
      </c>
      <c r="C44" t="s">
        <v>163</v>
      </c>
      <c r="D44" t="s">
        <v>177</v>
      </c>
      <c r="E44" t="s">
        <v>43</v>
      </c>
      <c r="F44">
        <v>80000</v>
      </c>
      <c r="G44" t="s">
        <v>19</v>
      </c>
      <c r="H44">
        <v>80000</v>
      </c>
      <c r="I44" t="s">
        <v>29</v>
      </c>
      <c r="J44">
        <v>100</v>
      </c>
      <c r="K44" t="s">
        <v>29</v>
      </c>
      <c r="L44" t="s">
        <v>171</v>
      </c>
    </row>
    <row r="45" spans="1:12">
      <c r="A45">
        <v>424</v>
      </c>
      <c r="B45">
        <v>2022</v>
      </c>
      <c r="C45" t="s">
        <v>173</v>
      </c>
      <c r="D45" t="s">
        <v>177</v>
      </c>
      <c r="E45" t="s">
        <v>13</v>
      </c>
      <c r="F45">
        <v>80000</v>
      </c>
      <c r="G45" t="s">
        <v>19</v>
      </c>
      <c r="H45">
        <v>80000</v>
      </c>
      <c r="I45" t="s">
        <v>29</v>
      </c>
      <c r="J45">
        <v>0</v>
      </c>
      <c r="K45" t="s">
        <v>29</v>
      </c>
      <c r="L45" t="s">
        <v>170</v>
      </c>
    </row>
    <row r="46" spans="1:12">
      <c r="A46">
        <v>450</v>
      </c>
      <c r="B46">
        <v>2022</v>
      </c>
      <c r="C46" t="s">
        <v>173</v>
      </c>
      <c r="D46" t="s">
        <v>177</v>
      </c>
      <c r="E46" t="s">
        <v>43</v>
      </c>
      <c r="F46">
        <v>80000</v>
      </c>
      <c r="G46" t="s">
        <v>19</v>
      </c>
      <c r="H46">
        <v>80000</v>
      </c>
      <c r="I46" t="s">
        <v>29</v>
      </c>
      <c r="J46">
        <v>100</v>
      </c>
      <c r="K46" t="s">
        <v>29</v>
      </c>
      <c r="L46" t="s">
        <v>170</v>
      </c>
    </row>
    <row r="47" spans="1:12">
      <c r="A47">
        <v>568</v>
      </c>
      <c r="B47">
        <v>2022</v>
      </c>
      <c r="C47" t="s">
        <v>173</v>
      </c>
      <c r="D47" t="s">
        <v>177</v>
      </c>
      <c r="E47" t="s">
        <v>31</v>
      </c>
      <c r="F47">
        <v>80000</v>
      </c>
      <c r="G47" t="s">
        <v>19</v>
      </c>
      <c r="H47">
        <v>80000</v>
      </c>
      <c r="I47" t="s">
        <v>29</v>
      </c>
      <c r="J47">
        <v>100</v>
      </c>
      <c r="K47" t="s">
        <v>29</v>
      </c>
      <c r="L47" t="s">
        <v>170</v>
      </c>
    </row>
    <row r="48" spans="1:12">
      <c r="A48">
        <v>178</v>
      </c>
      <c r="B48">
        <v>2021</v>
      </c>
      <c r="C48" t="s">
        <v>163</v>
      </c>
      <c r="D48" t="s">
        <v>177</v>
      </c>
      <c r="E48" t="s">
        <v>28</v>
      </c>
      <c r="F48">
        <v>81000</v>
      </c>
      <c r="G48" t="s">
        <v>19</v>
      </c>
      <c r="H48">
        <v>81000</v>
      </c>
      <c r="I48" t="s">
        <v>29</v>
      </c>
      <c r="J48">
        <v>50</v>
      </c>
      <c r="K48" t="s">
        <v>29</v>
      </c>
      <c r="L48" t="s">
        <v>169</v>
      </c>
    </row>
    <row r="49" spans="1:12">
      <c r="A49">
        <v>403</v>
      </c>
      <c r="B49">
        <v>2022</v>
      </c>
      <c r="C49" t="s">
        <v>173</v>
      </c>
      <c r="D49" t="s">
        <v>177</v>
      </c>
      <c r="E49" t="s">
        <v>31</v>
      </c>
      <c r="F49">
        <v>81666</v>
      </c>
      <c r="G49" t="s">
        <v>19</v>
      </c>
      <c r="H49">
        <v>81666</v>
      </c>
      <c r="I49" t="s">
        <v>29</v>
      </c>
      <c r="J49">
        <v>0</v>
      </c>
      <c r="K49" t="s">
        <v>29</v>
      </c>
      <c r="L49" t="s">
        <v>170</v>
      </c>
    </row>
    <row r="50" spans="1:12">
      <c r="A50">
        <v>541</v>
      </c>
      <c r="B50">
        <v>2022</v>
      </c>
      <c r="C50" t="s">
        <v>173</v>
      </c>
      <c r="D50" t="s">
        <v>177</v>
      </c>
      <c r="E50" t="s">
        <v>31</v>
      </c>
      <c r="F50">
        <v>81666</v>
      </c>
      <c r="G50" t="s">
        <v>19</v>
      </c>
      <c r="H50">
        <v>81666</v>
      </c>
      <c r="I50" t="s">
        <v>29</v>
      </c>
      <c r="J50">
        <v>100</v>
      </c>
      <c r="K50" t="s">
        <v>29</v>
      </c>
      <c r="L50" t="s">
        <v>170</v>
      </c>
    </row>
    <row r="51" spans="1:12">
      <c r="A51">
        <v>143</v>
      </c>
      <c r="B51">
        <v>2021</v>
      </c>
      <c r="C51" t="s">
        <v>164</v>
      </c>
      <c r="D51" t="s">
        <v>177</v>
      </c>
      <c r="E51" t="s">
        <v>13</v>
      </c>
      <c r="F51">
        <v>82500</v>
      </c>
      <c r="G51" t="s">
        <v>19</v>
      </c>
      <c r="H51">
        <v>82500</v>
      </c>
      <c r="I51" t="s">
        <v>29</v>
      </c>
      <c r="J51">
        <v>100</v>
      </c>
      <c r="K51" t="s">
        <v>29</v>
      </c>
      <c r="L51" t="s">
        <v>169</v>
      </c>
    </row>
    <row r="52" spans="1:12">
      <c r="A52">
        <v>425</v>
      </c>
      <c r="B52">
        <v>2022</v>
      </c>
      <c r="C52" t="s">
        <v>164</v>
      </c>
      <c r="D52" t="s">
        <v>177</v>
      </c>
      <c r="E52" t="s">
        <v>43</v>
      </c>
      <c r="F52">
        <v>82900</v>
      </c>
      <c r="G52" t="s">
        <v>19</v>
      </c>
      <c r="H52">
        <v>82900</v>
      </c>
      <c r="I52" t="s">
        <v>29</v>
      </c>
      <c r="J52">
        <v>0</v>
      </c>
      <c r="K52" t="s">
        <v>29</v>
      </c>
      <c r="L52" t="s">
        <v>170</v>
      </c>
    </row>
    <row r="53" spans="1:12">
      <c r="A53">
        <v>297</v>
      </c>
      <c r="B53">
        <v>2022</v>
      </c>
      <c r="C53" t="s">
        <v>173</v>
      </c>
      <c r="D53" t="s">
        <v>177</v>
      </c>
      <c r="E53" t="s">
        <v>31</v>
      </c>
      <c r="F53">
        <v>84900</v>
      </c>
      <c r="G53" t="s">
        <v>19</v>
      </c>
      <c r="H53">
        <v>84900</v>
      </c>
      <c r="I53" t="s">
        <v>29</v>
      </c>
      <c r="J53">
        <v>100</v>
      </c>
      <c r="K53" t="s">
        <v>29</v>
      </c>
      <c r="L53" t="s">
        <v>170</v>
      </c>
    </row>
    <row r="54" spans="1:12">
      <c r="A54">
        <v>14</v>
      </c>
      <c r="B54">
        <v>2020</v>
      </c>
      <c r="C54" t="s">
        <v>164</v>
      </c>
      <c r="D54" t="s">
        <v>177</v>
      </c>
      <c r="E54" t="s">
        <v>31</v>
      </c>
      <c r="F54">
        <v>85000</v>
      </c>
      <c r="G54" t="s">
        <v>19</v>
      </c>
      <c r="H54">
        <v>85000</v>
      </c>
      <c r="I54" t="s">
        <v>29</v>
      </c>
      <c r="J54">
        <v>100</v>
      </c>
      <c r="K54" t="s">
        <v>29</v>
      </c>
      <c r="L54" t="s">
        <v>171</v>
      </c>
    </row>
    <row r="55" spans="1:12">
      <c r="A55">
        <v>13</v>
      </c>
      <c r="B55">
        <v>2020</v>
      </c>
      <c r="C55" t="s">
        <v>164</v>
      </c>
      <c r="D55" t="s">
        <v>177</v>
      </c>
      <c r="E55" t="s">
        <v>41</v>
      </c>
      <c r="F55">
        <v>87000</v>
      </c>
      <c r="G55" t="s">
        <v>19</v>
      </c>
      <c r="H55">
        <v>87000</v>
      </c>
      <c r="I55" t="s">
        <v>29</v>
      </c>
      <c r="J55">
        <v>100</v>
      </c>
      <c r="K55" t="s">
        <v>29</v>
      </c>
      <c r="L55" t="s">
        <v>171</v>
      </c>
    </row>
    <row r="56" spans="1:12">
      <c r="A56">
        <v>135</v>
      </c>
      <c r="B56">
        <v>2021</v>
      </c>
      <c r="C56" t="s">
        <v>164</v>
      </c>
      <c r="D56" t="s">
        <v>177</v>
      </c>
      <c r="E56" t="s">
        <v>31</v>
      </c>
      <c r="F56">
        <v>90000</v>
      </c>
      <c r="G56" t="s">
        <v>19</v>
      </c>
      <c r="H56">
        <v>90000</v>
      </c>
      <c r="I56" t="s">
        <v>29</v>
      </c>
      <c r="J56">
        <v>100</v>
      </c>
      <c r="K56" t="s">
        <v>29</v>
      </c>
      <c r="L56" t="s">
        <v>170</v>
      </c>
    </row>
    <row r="57" spans="1:12">
      <c r="A57">
        <v>147</v>
      </c>
      <c r="B57">
        <v>2021</v>
      </c>
      <c r="C57" t="s">
        <v>164</v>
      </c>
      <c r="D57" t="s">
        <v>177</v>
      </c>
      <c r="E57" t="s">
        <v>43</v>
      </c>
      <c r="F57">
        <v>90000</v>
      </c>
      <c r="G57" t="s">
        <v>19</v>
      </c>
      <c r="H57">
        <v>90000</v>
      </c>
      <c r="I57" t="s">
        <v>29</v>
      </c>
      <c r="J57">
        <v>100</v>
      </c>
      <c r="K57" t="s">
        <v>29</v>
      </c>
      <c r="L57" t="s">
        <v>171</v>
      </c>
    </row>
    <row r="58" spans="1:12">
      <c r="A58">
        <v>293</v>
      </c>
      <c r="B58">
        <v>2022</v>
      </c>
      <c r="C58" t="s">
        <v>164</v>
      </c>
      <c r="D58" t="s">
        <v>177</v>
      </c>
      <c r="E58" t="s">
        <v>13</v>
      </c>
      <c r="F58">
        <v>90000</v>
      </c>
      <c r="G58" t="s">
        <v>19</v>
      </c>
      <c r="H58">
        <v>90000</v>
      </c>
      <c r="I58" t="s">
        <v>29</v>
      </c>
      <c r="J58">
        <v>0</v>
      </c>
      <c r="K58" t="s">
        <v>29</v>
      </c>
      <c r="L58" t="s">
        <v>170</v>
      </c>
    </row>
    <row r="59" spans="1:12">
      <c r="A59">
        <v>118</v>
      </c>
      <c r="B59">
        <v>2021</v>
      </c>
      <c r="C59" t="s">
        <v>163</v>
      </c>
      <c r="D59" t="s">
        <v>177</v>
      </c>
      <c r="E59" t="s">
        <v>31</v>
      </c>
      <c r="F59">
        <v>90000</v>
      </c>
      <c r="G59" t="s">
        <v>19</v>
      </c>
      <c r="H59">
        <v>90000</v>
      </c>
      <c r="I59" t="s">
        <v>29</v>
      </c>
      <c r="J59">
        <v>100</v>
      </c>
      <c r="K59" t="s">
        <v>29</v>
      </c>
      <c r="L59" t="s">
        <v>169</v>
      </c>
    </row>
    <row r="60" spans="1:12">
      <c r="A60">
        <v>199</v>
      </c>
      <c r="B60">
        <v>2021</v>
      </c>
      <c r="C60" t="s">
        <v>163</v>
      </c>
      <c r="D60" t="s">
        <v>177</v>
      </c>
      <c r="E60" t="s">
        <v>46</v>
      </c>
      <c r="F60">
        <v>90000</v>
      </c>
      <c r="G60" t="s">
        <v>19</v>
      </c>
      <c r="H60">
        <v>90000</v>
      </c>
      <c r="I60" t="s">
        <v>29</v>
      </c>
      <c r="J60">
        <v>100</v>
      </c>
      <c r="K60" t="s">
        <v>29</v>
      </c>
      <c r="L60" t="s">
        <v>169</v>
      </c>
    </row>
    <row r="61" spans="1:12">
      <c r="A61">
        <v>251</v>
      </c>
      <c r="B61">
        <v>2021</v>
      </c>
      <c r="C61" t="s">
        <v>163</v>
      </c>
      <c r="D61" t="s">
        <v>177</v>
      </c>
      <c r="E61" t="s">
        <v>13</v>
      </c>
      <c r="F61">
        <v>90000</v>
      </c>
      <c r="G61" t="s">
        <v>19</v>
      </c>
      <c r="H61">
        <v>90000</v>
      </c>
      <c r="I61" t="s">
        <v>29</v>
      </c>
      <c r="J61">
        <v>100</v>
      </c>
      <c r="K61" t="s">
        <v>29</v>
      </c>
      <c r="L61" t="s">
        <v>169</v>
      </c>
    </row>
    <row r="62" spans="1:12">
      <c r="A62">
        <v>318</v>
      </c>
      <c r="B62">
        <v>2022</v>
      </c>
      <c r="C62" t="s">
        <v>173</v>
      </c>
      <c r="D62" t="s">
        <v>177</v>
      </c>
      <c r="E62" t="s">
        <v>31</v>
      </c>
      <c r="F62">
        <v>90320</v>
      </c>
      <c r="G62" t="s">
        <v>19</v>
      </c>
      <c r="H62">
        <v>90320</v>
      </c>
      <c r="I62" t="s">
        <v>29</v>
      </c>
      <c r="J62">
        <v>100</v>
      </c>
      <c r="K62" t="s">
        <v>29</v>
      </c>
      <c r="L62" t="s">
        <v>170</v>
      </c>
    </row>
    <row r="63" spans="1:12">
      <c r="A63">
        <v>331</v>
      </c>
      <c r="B63">
        <v>2022</v>
      </c>
      <c r="C63" t="s">
        <v>173</v>
      </c>
      <c r="D63" t="s">
        <v>177</v>
      </c>
      <c r="E63" t="s">
        <v>31</v>
      </c>
      <c r="F63">
        <v>90320</v>
      </c>
      <c r="G63" t="s">
        <v>19</v>
      </c>
      <c r="H63">
        <v>90320</v>
      </c>
      <c r="I63" t="s">
        <v>29</v>
      </c>
      <c r="J63">
        <v>100</v>
      </c>
      <c r="K63" t="s">
        <v>29</v>
      </c>
      <c r="L63" t="s">
        <v>170</v>
      </c>
    </row>
    <row r="64" spans="1:12">
      <c r="A64">
        <v>333</v>
      </c>
      <c r="B64">
        <v>2022</v>
      </c>
      <c r="C64" t="s">
        <v>173</v>
      </c>
      <c r="D64" t="s">
        <v>177</v>
      </c>
      <c r="E64" t="s">
        <v>31</v>
      </c>
      <c r="F64">
        <v>90320</v>
      </c>
      <c r="G64" t="s">
        <v>19</v>
      </c>
      <c r="H64">
        <v>90320</v>
      </c>
      <c r="I64" t="s">
        <v>29</v>
      </c>
      <c r="J64">
        <v>100</v>
      </c>
      <c r="K64" t="s">
        <v>29</v>
      </c>
      <c r="L64" t="s">
        <v>170</v>
      </c>
    </row>
    <row r="65" spans="1:12">
      <c r="A65">
        <v>393</v>
      </c>
      <c r="B65">
        <v>2022</v>
      </c>
      <c r="C65" t="s">
        <v>173</v>
      </c>
      <c r="D65" t="s">
        <v>177</v>
      </c>
      <c r="E65" t="s">
        <v>31</v>
      </c>
      <c r="F65">
        <v>90320</v>
      </c>
      <c r="G65" t="s">
        <v>19</v>
      </c>
      <c r="H65">
        <v>90320</v>
      </c>
      <c r="I65" t="s">
        <v>29</v>
      </c>
      <c r="J65">
        <v>100</v>
      </c>
      <c r="K65" t="s">
        <v>29</v>
      </c>
      <c r="L65" t="s">
        <v>170</v>
      </c>
    </row>
    <row r="66" spans="1:12">
      <c r="A66">
        <v>529</v>
      </c>
      <c r="B66">
        <v>2022</v>
      </c>
      <c r="C66" t="s">
        <v>173</v>
      </c>
      <c r="D66" t="s">
        <v>177</v>
      </c>
      <c r="E66" t="s">
        <v>31</v>
      </c>
      <c r="F66">
        <v>90320</v>
      </c>
      <c r="G66" t="s">
        <v>19</v>
      </c>
      <c r="H66">
        <v>90320</v>
      </c>
      <c r="I66" t="s">
        <v>29</v>
      </c>
      <c r="J66">
        <v>100</v>
      </c>
      <c r="K66" t="s">
        <v>29</v>
      </c>
      <c r="L66" t="s">
        <v>170</v>
      </c>
    </row>
    <row r="67" spans="1:12">
      <c r="A67">
        <v>51</v>
      </c>
      <c r="B67">
        <v>2020</v>
      </c>
      <c r="C67" t="s">
        <v>163</v>
      </c>
      <c r="D67" t="s">
        <v>177</v>
      </c>
      <c r="E67" t="s">
        <v>31</v>
      </c>
      <c r="F67">
        <v>91000</v>
      </c>
      <c r="G67" t="s">
        <v>19</v>
      </c>
      <c r="H67">
        <v>91000</v>
      </c>
      <c r="I67" t="s">
        <v>29</v>
      </c>
      <c r="J67">
        <v>100</v>
      </c>
      <c r="K67" t="s">
        <v>29</v>
      </c>
      <c r="L67" t="s">
        <v>171</v>
      </c>
    </row>
    <row r="68" spans="1:12">
      <c r="A68">
        <v>254</v>
      </c>
      <c r="B68">
        <v>2021</v>
      </c>
      <c r="C68" t="s">
        <v>164</v>
      </c>
      <c r="D68" t="s">
        <v>177</v>
      </c>
      <c r="E68" t="s">
        <v>31</v>
      </c>
      <c r="F68">
        <v>93000</v>
      </c>
      <c r="G68" t="s">
        <v>19</v>
      </c>
      <c r="H68">
        <v>93000</v>
      </c>
      <c r="I68" t="s">
        <v>29</v>
      </c>
      <c r="J68">
        <v>100</v>
      </c>
      <c r="K68" t="s">
        <v>29</v>
      </c>
      <c r="L68" t="s">
        <v>171</v>
      </c>
    </row>
    <row r="69" spans="1:12">
      <c r="A69">
        <v>266</v>
      </c>
      <c r="B69">
        <v>2021</v>
      </c>
      <c r="C69" t="s">
        <v>164</v>
      </c>
      <c r="D69" t="s">
        <v>177</v>
      </c>
      <c r="E69" t="s">
        <v>43</v>
      </c>
      <c r="F69">
        <v>93150</v>
      </c>
      <c r="G69" t="s">
        <v>19</v>
      </c>
      <c r="H69">
        <v>93150</v>
      </c>
      <c r="I69" t="s">
        <v>29</v>
      </c>
      <c r="J69">
        <v>0</v>
      </c>
      <c r="K69" t="s">
        <v>29</v>
      </c>
      <c r="L69" t="s">
        <v>170</v>
      </c>
    </row>
    <row r="70" spans="1:12">
      <c r="A70">
        <v>341</v>
      </c>
      <c r="B70">
        <v>2022</v>
      </c>
      <c r="C70" t="s">
        <v>173</v>
      </c>
      <c r="D70" t="s">
        <v>177</v>
      </c>
      <c r="E70" t="s">
        <v>43</v>
      </c>
      <c r="F70">
        <v>93700</v>
      </c>
      <c r="G70" t="s">
        <v>19</v>
      </c>
      <c r="H70">
        <v>93700</v>
      </c>
      <c r="I70" t="s">
        <v>29</v>
      </c>
      <c r="J70">
        <v>100</v>
      </c>
      <c r="K70" t="s">
        <v>29</v>
      </c>
      <c r="L70" t="s">
        <v>170</v>
      </c>
    </row>
    <row r="71" spans="1:12">
      <c r="A71">
        <v>383</v>
      </c>
      <c r="B71">
        <v>2022</v>
      </c>
      <c r="C71" t="s">
        <v>173</v>
      </c>
      <c r="D71" t="s">
        <v>177</v>
      </c>
      <c r="E71" t="s">
        <v>31</v>
      </c>
      <c r="F71">
        <v>93700</v>
      </c>
      <c r="G71" t="s">
        <v>19</v>
      </c>
      <c r="H71">
        <v>93700</v>
      </c>
      <c r="I71" t="s">
        <v>29</v>
      </c>
      <c r="J71">
        <v>100</v>
      </c>
      <c r="K71" t="s">
        <v>29</v>
      </c>
      <c r="L71" t="s">
        <v>170</v>
      </c>
    </row>
    <row r="72" spans="1:12">
      <c r="A72">
        <v>347</v>
      </c>
      <c r="B72">
        <v>2022</v>
      </c>
      <c r="C72" t="s">
        <v>173</v>
      </c>
      <c r="D72" t="s">
        <v>177</v>
      </c>
      <c r="E72" t="s">
        <v>13</v>
      </c>
      <c r="F72">
        <v>95550</v>
      </c>
      <c r="G72" t="s">
        <v>19</v>
      </c>
      <c r="H72">
        <v>95550</v>
      </c>
      <c r="I72" t="s">
        <v>29</v>
      </c>
      <c r="J72">
        <v>0</v>
      </c>
      <c r="K72" t="s">
        <v>29</v>
      </c>
      <c r="L72" t="s">
        <v>170</v>
      </c>
    </row>
    <row r="73" spans="1:12">
      <c r="A73">
        <v>99</v>
      </c>
      <c r="B73">
        <v>2021</v>
      </c>
      <c r="C73" t="s">
        <v>164</v>
      </c>
      <c r="D73" t="s">
        <v>177</v>
      </c>
      <c r="E73" t="s">
        <v>93</v>
      </c>
      <c r="F73">
        <v>81000</v>
      </c>
      <c r="G73" t="s">
        <v>14</v>
      </c>
      <c r="H73">
        <v>95746</v>
      </c>
      <c r="I73" t="s">
        <v>15</v>
      </c>
      <c r="J73">
        <v>100</v>
      </c>
      <c r="K73" t="s">
        <v>29</v>
      </c>
      <c r="L73" t="s">
        <v>169</v>
      </c>
    </row>
    <row r="74" spans="1:12">
      <c r="A74">
        <v>23</v>
      </c>
      <c r="B74">
        <v>2020</v>
      </c>
      <c r="C74" t="s">
        <v>164</v>
      </c>
      <c r="D74" t="s">
        <v>177</v>
      </c>
      <c r="E74" t="s">
        <v>51</v>
      </c>
      <c r="F74">
        <v>98000</v>
      </c>
      <c r="G74" t="s">
        <v>19</v>
      </c>
      <c r="H74">
        <v>98000</v>
      </c>
      <c r="I74" t="s">
        <v>29</v>
      </c>
      <c r="J74">
        <v>0</v>
      </c>
      <c r="K74" t="s">
        <v>29</v>
      </c>
      <c r="L74" t="s">
        <v>170</v>
      </c>
    </row>
    <row r="75" spans="1:12">
      <c r="A75">
        <v>305</v>
      </c>
      <c r="B75">
        <v>2022</v>
      </c>
      <c r="C75" t="s">
        <v>173</v>
      </c>
      <c r="D75" t="s">
        <v>177</v>
      </c>
      <c r="E75" t="s">
        <v>31</v>
      </c>
      <c r="F75">
        <v>99000</v>
      </c>
      <c r="G75" t="s">
        <v>19</v>
      </c>
      <c r="H75">
        <v>99000</v>
      </c>
      <c r="I75" t="s">
        <v>29</v>
      </c>
      <c r="J75">
        <v>0</v>
      </c>
      <c r="K75" t="s">
        <v>29</v>
      </c>
      <c r="L75" t="s">
        <v>170</v>
      </c>
    </row>
    <row r="76" spans="1:12">
      <c r="A76">
        <v>588</v>
      </c>
      <c r="B76">
        <v>2022</v>
      </c>
      <c r="C76" t="s">
        <v>173</v>
      </c>
      <c r="D76" t="s">
        <v>177</v>
      </c>
      <c r="E76" t="s">
        <v>31</v>
      </c>
      <c r="F76">
        <v>99000</v>
      </c>
      <c r="G76" t="s">
        <v>19</v>
      </c>
      <c r="H76">
        <v>99000</v>
      </c>
      <c r="I76" t="s">
        <v>29</v>
      </c>
      <c r="J76">
        <v>0</v>
      </c>
      <c r="K76" t="s">
        <v>29</v>
      </c>
      <c r="L76" t="s">
        <v>170</v>
      </c>
    </row>
    <row r="77" spans="1:12">
      <c r="A77">
        <v>548</v>
      </c>
      <c r="B77">
        <v>2022</v>
      </c>
      <c r="C77" t="s">
        <v>173</v>
      </c>
      <c r="D77" t="s">
        <v>177</v>
      </c>
      <c r="E77" t="s">
        <v>31</v>
      </c>
      <c r="F77">
        <v>99050</v>
      </c>
      <c r="G77" t="s">
        <v>19</v>
      </c>
      <c r="H77">
        <v>99050</v>
      </c>
      <c r="I77" t="s">
        <v>29</v>
      </c>
      <c r="J77">
        <v>100</v>
      </c>
      <c r="K77" t="s">
        <v>29</v>
      </c>
      <c r="L77" t="s">
        <v>170</v>
      </c>
    </row>
    <row r="78" spans="1:12">
      <c r="A78">
        <v>543</v>
      </c>
      <c r="B78">
        <v>2022</v>
      </c>
      <c r="C78" t="s">
        <v>164</v>
      </c>
      <c r="D78" t="s">
        <v>177</v>
      </c>
      <c r="E78" t="s">
        <v>43</v>
      </c>
      <c r="F78">
        <v>99100</v>
      </c>
      <c r="G78" t="s">
        <v>19</v>
      </c>
      <c r="H78">
        <v>99100</v>
      </c>
      <c r="I78" t="s">
        <v>29</v>
      </c>
      <c r="J78">
        <v>0</v>
      </c>
      <c r="K78" t="s">
        <v>29</v>
      </c>
      <c r="L78" t="s">
        <v>170</v>
      </c>
    </row>
    <row r="79" spans="1:12">
      <c r="A79">
        <v>299</v>
      </c>
      <c r="B79">
        <v>2022</v>
      </c>
      <c r="C79" t="s">
        <v>173</v>
      </c>
      <c r="D79" t="s">
        <v>177</v>
      </c>
      <c r="E79" t="s">
        <v>13</v>
      </c>
      <c r="F79">
        <v>99360</v>
      </c>
      <c r="G79" t="s">
        <v>19</v>
      </c>
      <c r="H79">
        <v>99360</v>
      </c>
      <c r="I79" t="s">
        <v>29</v>
      </c>
      <c r="J79">
        <v>100</v>
      </c>
      <c r="K79" t="s">
        <v>29</v>
      </c>
      <c r="L79" t="s">
        <v>170</v>
      </c>
    </row>
    <row r="80" spans="1:12">
      <c r="A80">
        <v>76</v>
      </c>
      <c r="B80">
        <v>2021</v>
      </c>
      <c r="C80" t="s">
        <v>164</v>
      </c>
      <c r="D80" t="s">
        <v>177</v>
      </c>
      <c r="E80" t="s">
        <v>51</v>
      </c>
      <c r="F80">
        <v>100000</v>
      </c>
      <c r="G80" t="s">
        <v>19</v>
      </c>
      <c r="H80">
        <v>100000</v>
      </c>
      <c r="I80" t="s">
        <v>29</v>
      </c>
      <c r="J80">
        <v>100</v>
      </c>
      <c r="K80" t="s">
        <v>29</v>
      </c>
      <c r="L80" t="s">
        <v>170</v>
      </c>
    </row>
    <row r="81" spans="1:12">
      <c r="A81">
        <v>144</v>
      </c>
      <c r="B81">
        <v>2021</v>
      </c>
      <c r="C81" t="s">
        <v>164</v>
      </c>
      <c r="D81" t="s">
        <v>177</v>
      </c>
      <c r="E81" t="s">
        <v>43</v>
      </c>
      <c r="F81">
        <v>100000</v>
      </c>
      <c r="G81" t="s">
        <v>19</v>
      </c>
      <c r="H81">
        <v>100000</v>
      </c>
      <c r="I81" t="s">
        <v>29</v>
      </c>
      <c r="J81">
        <v>100</v>
      </c>
      <c r="K81" t="s">
        <v>29</v>
      </c>
      <c r="L81" t="s">
        <v>171</v>
      </c>
    </row>
    <row r="82" spans="1:12">
      <c r="A82">
        <v>488</v>
      </c>
      <c r="B82">
        <v>2022</v>
      </c>
      <c r="C82" t="s">
        <v>164</v>
      </c>
      <c r="D82" t="s">
        <v>179</v>
      </c>
      <c r="E82" t="s">
        <v>13</v>
      </c>
      <c r="F82">
        <v>100000</v>
      </c>
      <c r="G82" t="s">
        <v>19</v>
      </c>
      <c r="H82">
        <v>100000</v>
      </c>
      <c r="I82" t="s">
        <v>62</v>
      </c>
      <c r="J82">
        <v>100</v>
      </c>
      <c r="K82" t="s">
        <v>29</v>
      </c>
      <c r="L82" t="s">
        <v>170</v>
      </c>
    </row>
    <row r="83" spans="1:12">
      <c r="A83">
        <v>28</v>
      </c>
      <c r="B83">
        <v>2020</v>
      </c>
      <c r="C83" t="s">
        <v>163</v>
      </c>
      <c r="D83" t="s">
        <v>178</v>
      </c>
      <c r="E83" t="s">
        <v>35</v>
      </c>
      <c r="F83">
        <v>100000</v>
      </c>
      <c r="G83" t="s">
        <v>19</v>
      </c>
      <c r="H83">
        <v>100000</v>
      </c>
      <c r="I83" t="s">
        <v>29</v>
      </c>
      <c r="J83">
        <v>100</v>
      </c>
      <c r="K83" t="s">
        <v>29</v>
      </c>
      <c r="L83" t="s">
        <v>171</v>
      </c>
    </row>
    <row r="84" spans="1:12">
      <c r="A84">
        <v>134</v>
      </c>
      <c r="B84">
        <v>2021</v>
      </c>
      <c r="C84" t="s">
        <v>163</v>
      </c>
      <c r="D84" t="s">
        <v>177</v>
      </c>
      <c r="E84" t="s">
        <v>13</v>
      </c>
      <c r="F84">
        <v>100000</v>
      </c>
      <c r="G84" t="s">
        <v>19</v>
      </c>
      <c r="H84">
        <v>100000</v>
      </c>
      <c r="I84" t="s">
        <v>29</v>
      </c>
      <c r="J84">
        <v>0</v>
      </c>
      <c r="K84" t="s">
        <v>29</v>
      </c>
      <c r="L84" t="s">
        <v>169</v>
      </c>
    </row>
    <row r="85" spans="1:12">
      <c r="A85">
        <v>275</v>
      </c>
      <c r="B85">
        <v>2021</v>
      </c>
      <c r="C85" t="s">
        <v>163</v>
      </c>
      <c r="D85" t="s">
        <v>177</v>
      </c>
      <c r="E85" t="s">
        <v>13</v>
      </c>
      <c r="F85">
        <v>100000</v>
      </c>
      <c r="G85" t="s">
        <v>19</v>
      </c>
      <c r="H85">
        <v>100000</v>
      </c>
      <c r="I85" t="s">
        <v>29</v>
      </c>
      <c r="J85">
        <v>100</v>
      </c>
      <c r="K85" t="s">
        <v>29</v>
      </c>
      <c r="L85" t="s">
        <v>170</v>
      </c>
    </row>
    <row r="86" spans="1:12">
      <c r="A86">
        <v>461</v>
      </c>
      <c r="B86">
        <v>2022</v>
      </c>
      <c r="C86" t="s">
        <v>163</v>
      </c>
      <c r="D86" t="s">
        <v>177</v>
      </c>
      <c r="E86" t="s">
        <v>92</v>
      </c>
      <c r="F86">
        <v>100000</v>
      </c>
      <c r="G86" t="s">
        <v>19</v>
      </c>
      <c r="H86">
        <v>100000</v>
      </c>
      <c r="I86" t="s">
        <v>29</v>
      </c>
      <c r="J86">
        <v>50</v>
      </c>
      <c r="K86" t="s">
        <v>29</v>
      </c>
      <c r="L86" t="s">
        <v>171</v>
      </c>
    </row>
    <row r="87" spans="1:12">
      <c r="A87">
        <v>468</v>
      </c>
      <c r="B87">
        <v>2022</v>
      </c>
      <c r="C87" t="s">
        <v>173</v>
      </c>
      <c r="D87" t="s">
        <v>177</v>
      </c>
      <c r="E87" t="s">
        <v>43</v>
      </c>
      <c r="F87">
        <v>100000</v>
      </c>
      <c r="G87" t="s">
        <v>19</v>
      </c>
      <c r="H87">
        <v>100000</v>
      </c>
      <c r="I87" t="s">
        <v>29</v>
      </c>
      <c r="J87">
        <v>100</v>
      </c>
      <c r="K87" t="s">
        <v>29</v>
      </c>
      <c r="L87" t="s">
        <v>170</v>
      </c>
    </row>
    <row r="88" spans="1:12">
      <c r="A88">
        <v>494</v>
      </c>
      <c r="B88">
        <v>2022</v>
      </c>
      <c r="C88" t="s">
        <v>173</v>
      </c>
      <c r="D88" t="s">
        <v>177</v>
      </c>
      <c r="E88" t="s">
        <v>13</v>
      </c>
      <c r="F88">
        <v>100000</v>
      </c>
      <c r="G88" t="s">
        <v>19</v>
      </c>
      <c r="H88">
        <v>100000</v>
      </c>
      <c r="I88" t="s">
        <v>91</v>
      </c>
      <c r="J88">
        <v>100</v>
      </c>
      <c r="K88" t="s">
        <v>29</v>
      </c>
      <c r="L88" t="s">
        <v>170</v>
      </c>
    </row>
    <row r="89" spans="1:12">
      <c r="A89">
        <v>528</v>
      </c>
      <c r="B89">
        <v>2022</v>
      </c>
      <c r="C89" t="s">
        <v>173</v>
      </c>
      <c r="D89" t="s">
        <v>177</v>
      </c>
      <c r="E89" t="s">
        <v>31</v>
      </c>
      <c r="F89">
        <v>100000</v>
      </c>
      <c r="G89" t="s">
        <v>19</v>
      </c>
      <c r="H89">
        <v>100000</v>
      </c>
      <c r="I89" t="s">
        <v>29</v>
      </c>
      <c r="J89">
        <v>100</v>
      </c>
      <c r="K89" t="s">
        <v>29</v>
      </c>
      <c r="L89" t="s">
        <v>170</v>
      </c>
    </row>
    <row r="90" spans="1:12">
      <c r="A90">
        <v>572</v>
      </c>
      <c r="B90">
        <v>2022</v>
      </c>
      <c r="C90" t="s">
        <v>173</v>
      </c>
      <c r="D90" t="s">
        <v>177</v>
      </c>
      <c r="E90" t="s">
        <v>31</v>
      </c>
      <c r="F90">
        <v>100000</v>
      </c>
      <c r="G90" t="s">
        <v>19</v>
      </c>
      <c r="H90">
        <v>100000</v>
      </c>
      <c r="I90" t="s">
        <v>29</v>
      </c>
      <c r="J90">
        <v>100</v>
      </c>
      <c r="K90" t="s">
        <v>29</v>
      </c>
      <c r="L90" t="s">
        <v>170</v>
      </c>
    </row>
    <row r="91" spans="1:12">
      <c r="A91">
        <v>578</v>
      </c>
      <c r="B91">
        <v>2022</v>
      </c>
      <c r="C91" t="s">
        <v>173</v>
      </c>
      <c r="D91" t="s">
        <v>177</v>
      </c>
      <c r="E91" t="s">
        <v>43</v>
      </c>
      <c r="F91">
        <v>100000</v>
      </c>
      <c r="G91" t="s">
        <v>19</v>
      </c>
      <c r="H91">
        <v>100000</v>
      </c>
      <c r="I91" t="s">
        <v>29</v>
      </c>
      <c r="J91">
        <v>100</v>
      </c>
      <c r="K91" t="s">
        <v>29</v>
      </c>
      <c r="L91" t="s">
        <v>170</v>
      </c>
    </row>
    <row r="92" spans="1:12">
      <c r="A92">
        <v>426</v>
      </c>
      <c r="B92">
        <v>2022</v>
      </c>
      <c r="C92" t="s">
        <v>173</v>
      </c>
      <c r="D92" t="s">
        <v>177</v>
      </c>
      <c r="E92" t="s">
        <v>43</v>
      </c>
      <c r="F92">
        <v>100800</v>
      </c>
      <c r="G92" t="s">
        <v>19</v>
      </c>
      <c r="H92">
        <v>100800</v>
      </c>
      <c r="I92" t="s">
        <v>29</v>
      </c>
      <c r="J92">
        <v>100</v>
      </c>
      <c r="K92" t="s">
        <v>29</v>
      </c>
      <c r="L92" t="s">
        <v>171</v>
      </c>
    </row>
    <row r="93" spans="1:12">
      <c r="A93">
        <v>381</v>
      </c>
      <c r="B93">
        <v>2022</v>
      </c>
      <c r="C93" t="s">
        <v>173</v>
      </c>
      <c r="D93" t="s">
        <v>177</v>
      </c>
      <c r="E93" t="s">
        <v>43</v>
      </c>
      <c r="F93">
        <v>101570</v>
      </c>
      <c r="G93" t="s">
        <v>19</v>
      </c>
      <c r="H93">
        <v>101570</v>
      </c>
      <c r="I93" t="s">
        <v>29</v>
      </c>
      <c r="J93">
        <v>100</v>
      </c>
      <c r="K93" t="s">
        <v>29</v>
      </c>
      <c r="L93" t="s">
        <v>170</v>
      </c>
    </row>
    <row r="94" spans="1:12">
      <c r="A94">
        <v>539</v>
      </c>
      <c r="B94">
        <v>2022</v>
      </c>
      <c r="C94" t="s">
        <v>164</v>
      </c>
      <c r="D94" t="s">
        <v>177</v>
      </c>
      <c r="E94" t="s">
        <v>13</v>
      </c>
      <c r="F94">
        <v>102100</v>
      </c>
      <c r="G94" t="s">
        <v>19</v>
      </c>
      <c r="H94">
        <v>102100</v>
      </c>
      <c r="I94" t="s">
        <v>29</v>
      </c>
      <c r="J94">
        <v>0</v>
      </c>
      <c r="K94" t="s">
        <v>29</v>
      </c>
      <c r="L94" t="s">
        <v>170</v>
      </c>
    </row>
    <row r="95" spans="1:12">
      <c r="A95">
        <v>296</v>
      </c>
      <c r="B95">
        <v>2022</v>
      </c>
      <c r="C95" t="s">
        <v>173</v>
      </c>
      <c r="D95" t="s">
        <v>177</v>
      </c>
      <c r="E95" t="s">
        <v>31</v>
      </c>
      <c r="F95">
        <v>102100</v>
      </c>
      <c r="G95" t="s">
        <v>19</v>
      </c>
      <c r="H95">
        <v>102100</v>
      </c>
      <c r="I95" t="s">
        <v>29</v>
      </c>
      <c r="J95">
        <v>100</v>
      </c>
      <c r="K95" t="s">
        <v>29</v>
      </c>
      <c r="L95" t="s">
        <v>170</v>
      </c>
    </row>
    <row r="96" spans="1:12">
      <c r="A96">
        <v>36</v>
      </c>
      <c r="B96">
        <v>2020</v>
      </c>
      <c r="C96" t="s">
        <v>164</v>
      </c>
      <c r="D96" t="s">
        <v>177</v>
      </c>
      <c r="E96" t="s">
        <v>46</v>
      </c>
      <c r="F96">
        <v>103000</v>
      </c>
      <c r="G96" t="s">
        <v>19</v>
      </c>
      <c r="H96">
        <v>103000</v>
      </c>
      <c r="I96" t="s">
        <v>29</v>
      </c>
      <c r="J96">
        <v>100</v>
      </c>
      <c r="K96" t="s">
        <v>29</v>
      </c>
      <c r="L96" t="s">
        <v>171</v>
      </c>
    </row>
    <row r="97" spans="1:12">
      <c r="A97">
        <v>467</v>
      </c>
      <c r="B97">
        <v>2022</v>
      </c>
      <c r="C97" t="s">
        <v>173</v>
      </c>
      <c r="D97" t="s">
        <v>177</v>
      </c>
      <c r="E97" t="s">
        <v>13</v>
      </c>
      <c r="F97">
        <v>104890</v>
      </c>
      <c r="G97" t="s">
        <v>19</v>
      </c>
      <c r="H97">
        <v>104890</v>
      </c>
      <c r="I97" t="s">
        <v>29</v>
      </c>
      <c r="J97">
        <v>100</v>
      </c>
      <c r="K97" t="s">
        <v>29</v>
      </c>
      <c r="L97" t="s">
        <v>170</v>
      </c>
    </row>
    <row r="98" spans="1:12">
      <c r="A98">
        <v>48</v>
      </c>
      <c r="B98">
        <v>2020</v>
      </c>
      <c r="C98" t="s">
        <v>164</v>
      </c>
      <c r="D98" t="s">
        <v>177</v>
      </c>
      <c r="E98" t="s">
        <v>13</v>
      </c>
      <c r="F98">
        <v>105000</v>
      </c>
      <c r="G98" t="s">
        <v>19</v>
      </c>
      <c r="H98">
        <v>105000</v>
      </c>
      <c r="I98" t="s">
        <v>29</v>
      </c>
      <c r="J98">
        <v>100</v>
      </c>
      <c r="K98" t="s">
        <v>29</v>
      </c>
      <c r="L98" t="s">
        <v>171</v>
      </c>
    </row>
    <row r="99" spans="1:12">
      <c r="A99">
        <v>68</v>
      </c>
      <c r="B99">
        <v>2020</v>
      </c>
      <c r="C99" t="s">
        <v>163</v>
      </c>
      <c r="D99" t="s">
        <v>177</v>
      </c>
      <c r="E99" t="s">
        <v>13</v>
      </c>
      <c r="F99">
        <v>105000</v>
      </c>
      <c r="G99" t="s">
        <v>19</v>
      </c>
      <c r="H99">
        <v>105000</v>
      </c>
      <c r="I99" t="s">
        <v>29</v>
      </c>
      <c r="J99">
        <v>100</v>
      </c>
      <c r="K99" t="s">
        <v>29</v>
      </c>
      <c r="L99" t="s">
        <v>169</v>
      </c>
    </row>
    <row r="100" spans="1:12">
      <c r="A100">
        <v>283</v>
      </c>
      <c r="B100">
        <v>2021</v>
      </c>
      <c r="C100" t="s">
        <v>173</v>
      </c>
      <c r="D100" t="s">
        <v>178</v>
      </c>
      <c r="E100" t="s">
        <v>129</v>
      </c>
      <c r="F100">
        <v>105000</v>
      </c>
      <c r="G100" t="s">
        <v>19</v>
      </c>
      <c r="H100">
        <v>105000</v>
      </c>
      <c r="I100" t="s">
        <v>29</v>
      </c>
      <c r="J100">
        <v>100</v>
      </c>
      <c r="K100" t="s">
        <v>29</v>
      </c>
      <c r="L100" t="s">
        <v>170</v>
      </c>
    </row>
    <row r="101" spans="1:12">
      <c r="A101">
        <v>456</v>
      </c>
      <c r="B101">
        <v>2022</v>
      </c>
      <c r="C101" t="s">
        <v>173</v>
      </c>
      <c r="D101" t="s">
        <v>177</v>
      </c>
      <c r="E101" t="s">
        <v>43</v>
      </c>
      <c r="F101">
        <v>105000</v>
      </c>
      <c r="G101" t="s">
        <v>19</v>
      </c>
      <c r="H101">
        <v>105000</v>
      </c>
      <c r="I101" t="s">
        <v>29</v>
      </c>
      <c r="J101">
        <v>100</v>
      </c>
      <c r="K101" t="s">
        <v>29</v>
      </c>
      <c r="L101" t="s">
        <v>170</v>
      </c>
    </row>
    <row r="102" spans="1:12">
      <c r="A102">
        <v>584</v>
      </c>
      <c r="B102">
        <v>2022</v>
      </c>
      <c r="C102" t="s">
        <v>173</v>
      </c>
      <c r="D102" t="s">
        <v>177</v>
      </c>
      <c r="E102" t="s">
        <v>31</v>
      </c>
      <c r="F102">
        <v>105000</v>
      </c>
      <c r="G102" t="s">
        <v>19</v>
      </c>
      <c r="H102">
        <v>105000</v>
      </c>
      <c r="I102" t="s">
        <v>29</v>
      </c>
      <c r="J102">
        <v>100</v>
      </c>
      <c r="K102" t="s">
        <v>29</v>
      </c>
      <c r="L102" t="s">
        <v>170</v>
      </c>
    </row>
    <row r="103" spans="1:12">
      <c r="A103">
        <v>395</v>
      </c>
      <c r="B103">
        <v>2022</v>
      </c>
      <c r="C103" t="s">
        <v>173</v>
      </c>
      <c r="D103" t="s">
        <v>177</v>
      </c>
      <c r="E103" t="s">
        <v>105</v>
      </c>
      <c r="F103">
        <v>105400</v>
      </c>
      <c r="G103" t="s">
        <v>19</v>
      </c>
      <c r="H103">
        <v>105400</v>
      </c>
      <c r="I103" t="s">
        <v>29</v>
      </c>
      <c r="J103">
        <v>100</v>
      </c>
      <c r="K103" t="s">
        <v>29</v>
      </c>
      <c r="L103" t="s">
        <v>170</v>
      </c>
    </row>
    <row r="104" spans="1:12">
      <c r="A104">
        <v>43</v>
      </c>
      <c r="B104">
        <v>2020</v>
      </c>
      <c r="C104" t="s">
        <v>164</v>
      </c>
      <c r="D104" t="s">
        <v>177</v>
      </c>
      <c r="E104" t="s">
        <v>43</v>
      </c>
      <c r="F104">
        <v>106000</v>
      </c>
      <c r="G104" t="s">
        <v>19</v>
      </c>
      <c r="H104">
        <v>106000</v>
      </c>
      <c r="I104" t="s">
        <v>29</v>
      </c>
      <c r="J104">
        <v>100</v>
      </c>
      <c r="K104" t="s">
        <v>29</v>
      </c>
      <c r="L104" t="s">
        <v>171</v>
      </c>
    </row>
    <row r="105" spans="1:12">
      <c r="A105">
        <v>307</v>
      </c>
      <c r="B105">
        <v>2022</v>
      </c>
      <c r="C105" t="s">
        <v>164</v>
      </c>
      <c r="D105" t="s">
        <v>177</v>
      </c>
      <c r="E105" t="s">
        <v>31</v>
      </c>
      <c r="F105">
        <v>106260</v>
      </c>
      <c r="G105" t="s">
        <v>19</v>
      </c>
      <c r="H105">
        <v>106260</v>
      </c>
      <c r="I105" t="s">
        <v>29</v>
      </c>
      <c r="J105">
        <v>0</v>
      </c>
      <c r="K105" t="s">
        <v>29</v>
      </c>
      <c r="L105" t="s">
        <v>170</v>
      </c>
    </row>
    <row r="106" spans="1:12">
      <c r="A106">
        <v>581</v>
      </c>
      <c r="B106">
        <v>2022</v>
      </c>
      <c r="C106" t="s">
        <v>173</v>
      </c>
      <c r="D106" t="s">
        <v>177</v>
      </c>
      <c r="E106" t="s">
        <v>31</v>
      </c>
      <c r="F106">
        <v>106260</v>
      </c>
      <c r="G106" t="s">
        <v>19</v>
      </c>
      <c r="H106">
        <v>106260</v>
      </c>
      <c r="I106" t="s">
        <v>29</v>
      </c>
      <c r="J106">
        <v>100</v>
      </c>
      <c r="K106" t="s">
        <v>29</v>
      </c>
      <c r="L106" t="s">
        <v>170</v>
      </c>
    </row>
    <row r="107" spans="1:12">
      <c r="A107">
        <v>346</v>
      </c>
      <c r="B107">
        <v>2022</v>
      </c>
      <c r="C107" t="s">
        <v>173</v>
      </c>
      <c r="D107" t="s">
        <v>177</v>
      </c>
      <c r="E107" t="s">
        <v>43</v>
      </c>
      <c r="F107">
        <v>108800</v>
      </c>
      <c r="G107" t="s">
        <v>19</v>
      </c>
      <c r="H107">
        <v>108800</v>
      </c>
      <c r="I107" t="s">
        <v>29</v>
      </c>
      <c r="J107">
        <v>0</v>
      </c>
      <c r="K107" t="s">
        <v>29</v>
      </c>
      <c r="L107" t="s">
        <v>170</v>
      </c>
    </row>
    <row r="108" spans="1:12">
      <c r="A108">
        <v>287</v>
      </c>
      <c r="B108">
        <v>2021</v>
      </c>
      <c r="C108" t="s">
        <v>164</v>
      </c>
      <c r="D108" t="s">
        <v>177</v>
      </c>
      <c r="E108" t="s">
        <v>13</v>
      </c>
      <c r="F108">
        <v>109000</v>
      </c>
      <c r="G108" t="s">
        <v>19</v>
      </c>
      <c r="H108">
        <v>109000</v>
      </c>
      <c r="I108" t="s">
        <v>29</v>
      </c>
      <c r="J108">
        <v>50</v>
      </c>
      <c r="K108" t="s">
        <v>29</v>
      </c>
      <c r="L108" t="s">
        <v>171</v>
      </c>
    </row>
    <row r="109" spans="1:12">
      <c r="A109">
        <v>339</v>
      </c>
      <c r="B109">
        <v>2022</v>
      </c>
      <c r="C109" t="s">
        <v>173</v>
      </c>
      <c r="D109" t="s">
        <v>177</v>
      </c>
      <c r="E109" t="s">
        <v>31</v>
      </c>
      <c r="F109">
        <v>109280</v>
      </c>
      <c r="G109" t="s">
        <v>19</v>
      </c>
      <c r="H109">
        <v>109280</v>
      </c>
      <c r="I109" t="s">
        <v>29</v>
      </c>
      <c r="J109">
        <v>100</v>
      </c>
      <c r="K109" t="s">
        <v>29</v>
      </c>
      <c r="L109" t="s">
        <v>170</v>
      </c>
    </row>
    <row r="110" spans="1:12">
      <c r="A110">
        <v>595</v>
      </c>
      <c r="B110">
        <v>2022</v>
      </c>
      <c r="C110" t="s">
        <v>173</v>
      </c>
      <c r="D110" t="s">
        <v>177</v>
      </c>
      <c r="E110" t="s">
        <v>105</v>
      </c>
      <c r="F110">
        <v>109280</v>
      </c>
      <c r="G110" t="s">
        <v>19</v>
      </c>
      <c r="H110">
        <v>109280</v>
      </c>
      <c r="I110" t="s">
        <v>29</v>
      </c>
      <c r="J110">
        <v>100</v>
      </c>
      <c r="K110" t="s">
        <v>29</v>
      </c>
      <c r="L110" t="s">
        <v>170</v>
      </c>
    </row>
    <row r="111" spans="1:12">
      <c r="A111">
        <v>60</v>
      </c>
      <c r="B111">
        <v>2020</v>
      </c>
      <c r="C111" t="s">
        <v>164</v>
      </c>
      <c r="D111" t="s">
        <v>177</v>
      </c>
      <c r="E111" t="s">
        <v>43</v>
      </c>
      <c r="F111">
        <v>110000</v>
      </c>
      <c r="G111" t="s">
        <v>19</v>
      </c>
      <c r="H111">
        <v>110000</v>
      </c>
      <c r="I111" t="s">
        <v>29</v>
      </c>
      <c r="J111">
        <v>100</v>
      </c>
      <c r="K111" t="s">
        <v>29</v>
      </c>
      <c r="L111" t="s">
        <v>171</v>
      </c>
    </row>
    <row r="112" spans="1:12">
      <c r="A112">
        <v>87</v>
      </c>
      <c r="B112">
        <v>2021</v>
      </c>
      <c r="C112" t="s">
        <v>164</v>
      </c>
      <c r="D112" t="s">
        <v>177</v>
      </c>
      <c r="E112" t="s">
        <v>83</v>
      </c>
      <c r="F112">
        <v>110000</v>
      </c>
      <c r="G112" t="s">
        <v>19</v>
      </c>
      <c r="H112">
        <v>110000</v>
      </c>
      <c r="I112" t="s">
        <v>29</v>
      </c>
      <c r="J112">
        <v>100</v>
      </c>
      <c r="K112" t="s">
        <v>29</v>
      </c>
      <c r="L112" t="s">
        <v>171</v>
      </c>
    </row>
    <row r="113" spans="1:12">
      <c r="A113">
        <v>235</v>
      </c>
      <c r="B113">
        <v>2021</v>
      </c>
      <c r="C113" t="s">
        <v>164</v>
      </c>
      <c r="D113" t="s">
        <v>177</v>
      </c>
      <c r="E113" t="s">
        <v>106</v>
      </c>
      <c r="F113">
        <v>110000</v>
      </c>
      <c r="G113" t="s">
        <v>19</v>
      </c>
      <c r="H113">
        <v>110000</v>
      </c>
      <c r="I113" t="s">
        <v>29</v>
      </c>
      <c r="J113">
        <v>0</v>
      </c>
      <c r="K113" t="s">
        <v>29</v>
      </c>
      <c r="L113" t="s">
        <v>169</v>
      </c>
    </row>
    <row r="114" spans="1:12">
      <c r="A114">
        <v>242</v>
      </c>
      <c r="B114">
        <v>2021</v>
      </c>
      <c r="C114" t="s">
        <v>164</v>
      </c>
      <c r="D114" t="s">
        <v>177</v>
      </c>
      <c r="E114" t="s">
        <v>43</v>
      </c>
      <c r="F114">
        <v>110000</v>
      </c>
      <c r="G114" t="s">
        <v>19</v>
      </c>
      <c r="H114">
        <v>110000</v>
      </c>
      <c r="I114" t="s">
        <v>29</v>
      </c>
      <c r="J114">
        <v>100</v>
      </c>
      <c r="K114" t="s">
        <v>29</v>
      </c>
      <c r="L114" t="s">
        <v>171</v>
      </c>
    </row>
    <row r="115" spans="1:12">
      <c r="A115">
        <v>327</v>
      </c>
      <c r="B115">
        <v>2022</v>
      </c>
      <c r="C115" t="s">
        <v>165</v>
      </c>
      <c r="D115" t="s">
        <v>177</v>
      </c>
      <c r="E115" t="s">
        <v>31</v>
      </c>
      <c r="F115">
        <v>110000</v>
      </c>
      <c r="G115" t="s">
        <v>19</v>
      </c>
      <c r="H115">
        <v>110000</v>
      </c>
      <c r="I115" t="s">
        <v>29</v>
      </c>
      <c r="J115">
        <v>100</v>
      </c>
      <c r="K115" t="s">
        <v>29</v>
      </c>
      <c r="L115" t="s">
        <v>170</v>
      </c>
    </row>
    <row r="116" spans="1:12">
      <c r="A116">
        <v>546</v>
      </c>
      <c r="B116">
        <v>2022</v>
      </c>
      <c r="C116" t="s">
        <v>173</v>
      </c>
      <c r="D116" t="s">
        <v>177</v>
      </c>
      <c r="E116" t="s">
        <v>43</v>
      </c>
      <c r="F116">
        <v>110500</v>
      </c>
      <c r="G116" t="s">
        <v>19</v>
      </c>
      <c r="H116">
        <v>110500</v>
      </c>
      <c r="I116" t="s">
        <v>29</v>
      </c>
      <c r="J116">
        <v>100</v>
      </c>
      <c r="K116" t="s">
        <v>29</v>
      </c>
      <c r="L116" t="s">
        <v>170</v>
      </c>
    </row>
    <row r="117" spans="1:12">
      <c r="A117">
        <v>585</v>
      </c>
      <c r="B117">
        <v>2022</v>
      </c>
      <c r="C117" t="s">
        <v>173</v>
      </c>
      <c r="D117" t="s">
        <v>177</v>
      </c>
      <c r="E117" t="s">
        <v>31</v>
      </c>
      <c r="F117">
        <v>110925</v>
      </c>
      <c r="G117" t="s">
        <v>19</v>
      </c>
      <c r="H117">
        <v>110925</v>
      </c>
      <c r="I117" t="s">
        <v>29</v>
      </c>
      <c r="J117">
        <v>100</v>
      </c>
      <c r="K117" t="s">
        <v>29</v>
      </c>
      <c r="L117" t="s">
        <v>170</v>
      </c>
    </row>
    <row r="118" spans="1:12">
      <c r="A118">
        <v>267</v>
      </c>
      <c r="B118">
        <v>2021</v>
      </c>
      <c r="C118" t="s">
        <v>164</v>
      </c>
      <c r="D118" t="s">
        <v>177</v>
      </c>
      <c r="E118" t="s">
        <v>43</v>
      </c>
      <c r="F118">
        <v>111775</v>
      </c>
      <c r="G118" t="s">
        <v>19</v>
      </c>
      <c r="H118">
        <v>111775</v>
      </c>
      <c r="I118" t="s">
        <v>29</v>
      </c>
      <c r="J118">
        <v>0</v>
      </c>
      <c r="K118" t="s">
        <v>29</v>
      </c>
      <c r="L118" t="s">
        <v>170</v>
      </c>
    </row>
    <row r="119" spans="1:12">
      <c r="A119">
        <v>280</v>
      </c>
      <c r="B119">
        <v>2021</v>
      </c>
      <c r="C119" t="s">
        <v>164</v>
      </c>
      <c r="D119" t="s">
        <v>177</v>
      </c>
      <c r="E119" t="s">
        <v>43</v>
      </c>
      <c r="F119">
        <v>112000</v>
      </c>
      <c r="G119" t="s">
        <v>19</v>
      </c>
      <c r="H119">
        <v>112000</v>
      </c>
      <c r="I119" t="s">
        <v>29</v>
      </c>
      <c r="J119">
        <v>100</v>
      </c>
      <c r="K119" t="s">
        <v>29</v>
      </c>
      <c r="L119" t="s">
        <v>171</v>
      </c>
    </row>
    <row r="120" spans="1:12">
      <c r="A120">
        <v>420</v>
      </c>
      <c r="B120">
        <v>2022</v>
      </c>
      <c r="C120" t="s">
        <v>164</v>
      </c>
      <c r="D120" t="s">
        <v>177</v>
      </c>
      <c r="E120" t="s">
        <v>18</v>
      </c>
      <c r="F120">
        <v>112300</v>
      </c>
      <c r="G120" t="s">
        <v>19</v>
      </c>
      <c r="H120">
        <v>112300</v>
      </c>
      <c r="I120" t="s">
        <v>29</v>
      </c>
      <c r="J120">
        <v>100</v>
      </c>
      <c r="K120" t="s">
        <v>29</v>
      </c>
      <c r="L120" t="s">
        <v>171</v>
      </c>
    </row>
    <row r="121" spans="1:12">
      <c r="A121">
        <v>330</v>
      </c>
      <c r="B121">
        <v>2022</v>
      </c>
      <c r="C121" t="s">
        <v>173</v>
      </c>
      <c r="D121" t="s">
        <v>177</v>
      </c>
      <c r="E121" t="s">
        <v>31</v>
      </c>
      <c r="F121">
        <v>112900</v>
      </c>
      <c r="G121" t="s">
        <v>19</v>
      </c>
      <c r="H121">
        <v>112900</v>
      </c>
      <c r="I121" t="s">
        <v>29</v>
      </c>
      <c r="J121">
        <v>100</v>
      </c>
      <c r="K121" t="s">
        <v>29</v>
      </c>
      <c r="L121" t="s">
        <v>170</v>
      </c>
    </row>
    <row r="122" spans="1:12">
      <c r="A122">
        <v>332</v>
      </c>
      <c r="B122">
        <v>2022</v>
      </c>
      <c r="C122" t="s">
        <v>173</v>
      </c>
      <c r="D122" t="s">
        <v>177</v>
      </c>
      <c r="E122" t="s">
        <v>31</v>
      </c>
      <c r="F122">
        <v>112900</v>
      </c>
      <c r="G122" t="s">
        <v>19</v>
      </c>
      <c r="H122">
        <v>112900</v>
      </c>
      <c r="I122" t="s">
        <v>29</v>
      </c>
      <c r="J122">
        <v>100</v>
      </c>
      <c r="K122" t="s">
        <v>29</v>
      </c>
      <c r="L122" t="s">
        <v>170</v>
      </c>
    </row>
    <row r="123" spans="1:12">
      <c r="A123">
        <v>392</v>
      </c>
      <c r="B123">
        <v>2022</v>
      </c>
      <c r="C123" t="s">
        <v>173</v>
      </c>
      <c r="D123" t="s">
        <v>177</v>
      </c>
      <c r="E123" t="s">
        <v>31</v>
      </c>
      <c r="F123">
        <v>112900</v>
      </c>
      <c r="G123" t="s">
        <v>19</v>
      </c>
      <c r="H123">
        <v>112900</v>
      </c>
      <c r="I123" t="s">
        <v>29</v>
      </c>
      <c r="J123">
        <v>100</v>
      </c>
      <c r="K123" t="s">
        <v>29</v>
      </c>
      <c r="L123" t="s">
        <v>170</v>
      </c>
    </row>
    <row r="124" spans="1:12">
      <c r="A124">
        <v>536</v>
      </c>
      <c r="B124">
        <v>2022</v>
      </c>
      <c r="C124" t="s">
        <v>173</v>
      </c>
      <c r="D124" t="s">
        <v>177</v>
      </c>
      <c r="E124" t="s">
        <v>31</v>
      </c>
      <c r="F124">
        <v>112900</v>
      </c>
      <c r="G124" t="s">
        <v>19</v>
      </c>
      <c r="H124">
        <v>112900</v>
      </c>
      <c r="I124" t="s">
        <v>29</v>
      </c>
      <c r="J124">
        <v>100</v>
      </c>
      <c r="K124" t="s">
        <v>29</v>
      </c>
      <c r="L124" t="s">
        <v>170</v>
      </c>
    </row>
    <row r="125" spans="1:12">
      <c r="A125">
        <v>348</v>
      </c>
      <c r="B125">
        <v>2022</v>
      </c>
      <c r="C125" t="s">
        <v>173</v>
      </c>
      <c r="D125" t="s">
        <v>177</v>
      </c>
      <c r="E125" t="s">
        <v>43</v>
      </c>
      <c r="F125">
        <v>113000</v>
      </c>
      <c r="G125" t="s">
        <v>19</v>
      </c>
      <c r="H125">
        <v>113000</v>
      </c>
      <c r="I125" t="s">
        <v>29</v>
      </c>
      <c r="J125">
        <v>0</v>
      </c>
      <c r="K125" t="s">
        <v>29</v>
      </c>
      <c r="L125" t="s">
        <v>171</v>
      </c>
    </row>
    <row r="126" spans="1:12">
      <c r="A126">
        <v>107</v>
      </c>
      <c r="B126">
        <v>2021</v>
      </c>
      <c r="C126" t="s">
        <v>173</v>
      </c>
      <c r="D126" t="s">
        <v>177</v>
      </c>
      <c r="E126" t="s">
        <v>43</v>
      </c>
      <c r="F126">
        <v>115000</v>
      </c>
      <c r="G126" t="s">
        <v>19</v>
      </c>
      <c r="H126">
        <v>115000</v>
      </c>
      <c r="I126" t="s">
        <v>29</v>
      </c>
      <c r="J126">
        <v>100</v>
      </c>
      <c r="K126" t="s">
        <v>29</v>
      </c>
      <c r="L126" t="s">
        <v>169</v>
      </c>
    </row>
    <row r="127" spans="1:12">
      <c r="A127">
        <v>504</v>
      </c>
      <c r="B127">
        <v>2022</v>
      </c>
      <c r="C127" t="s">
        <v>173</v>
      </c>
      <c r="D127" t="s">
        <v>177</v>
      </c>
      <c r="E127" t="s">
        <v>43</v>
      </c>
      <c r="F127">
        <v>115000</v>
      </c>
      <c r="G127" t="s">
        <v>19</v>
      </c>
      <c r="H127">
        <v>115000</v>
      </c>
      <c r="I127" t="s">
        <v>29</v>
      </c>
      <c r="J127">
        <v>100</v>
      </c>
      <c r="K127" t="s">
        <v>29</v>
      </c>
      <c r="L127" t="s">
        <v>170</v>
      </c>
    </row>
    <row r="128" spans="1:12">
      <c r="A128">
        <v>545</v>
      </c>
      <c r="B128">
        <v>2022</v>
      </c>
      <c r="C128" t="s">
        <v>173</v>
      </c>
      <c r="D128" t="s">
        <v>177</v>
      </c>
      <c r="E128" t="s">
        <v>43</v>
      </c>
      <c r="F128">
        <v>115000</v>
      </c>
      <c r="G128" t="s">
        <v>19</v>
      </c>
      <c r="H128">
        <v>115000</v>
      </c>
      <c r="I128" t="s">
        <v>29</v>
      </c>
      <c r="J128">
        <v>100</v>
      </c>
      <c r="K128" t="s">
        <v>29</v>
      </c>
      <c r="L128" t="s">
        <v>170</v>
      </c>
    </row>
    <row r="129" spans="1:12">
      <c r="A129">
        <v>250</v>
      </c>
      <c r="B129">
        <v>2021</v>
      </c>
      <c r="C129" t="s">
        <v>164</v>
      </c>
      <c r="D129" t="s">
        <v>177</v>
      </c>
      <c r="E129" t="s">
        <v>13</v>
      </c>
      <c r="F129">
        <v>115000</v>
      </c>
      <c r="G129" t="s">
        <v>19</v>
      </c>
      <c r="H129">
        <v>115000</v>
      </c>
      <c r="I129" t="s">
        <v>29</v>
      </c>
      <c r="J129">
        <v>50</v>
      </c>
      <c r="K129" t="s">
        <v>29</v>
      </c>
      <c r="L129" t="s">
        <v>171</v>
      </c>
    </row>
    <row r="130" spans="1:12">
      <c r="A130">
        <v>329</v>
      </c>
      <c r="B130">
        <v>2022</v>
      </c>
      <c r="C130" t="s">
        <v>164</v>
      </c>
      <c r="D130" t="s">
        <v>177</v>
      </c>
      <c r="E130" t="s">
        <v>31</v>
      </c>
      <c r="F130">
        <v>115500</v>
      </c>
      <c r="G130" t="s">
        <v>19</v>
      </c>
      <c r="H130">
        <v>115500</v>
      </c>
      <c r="I130" t="s">
        <v>29</v>
      </c>
      <c r="J130">
        <v>100</v>
      </c>
      <c r="K130" t="s">
        <v>29</v>
      </c>
      <c r="L130" t="s">
        <v>170</v>
      </c>
    </row>
    <row r="131" spans="1:12">
      <c r="A131">
        <v>402</v>
      </c>
      <c r="B131">
        <v>2022</v>
      </c>
      <c r="C131" t="s">
        <v>173</v>
      </c>
      <c r="D131" t="s">
        <v>177</v>
      </c>
      <c r="E131" t="s">
        <v>31</v>
      </c>
      <c r="F131">
        <v>115934</v>
      </c>
      <c r="G131" t="s">
        <v>19</v>
      </c>
      <c r="H131">
        <v>115934</v>
      </c>
      <c r="I131" t="s">
        <v>29</v>
      </c>
      <c r="J131">
        <v>0</v>
      </c>
      <c r="K131" t="s">
        <v>29</v>
      </c>
      <c r="L131" t="s">
        <v>170</v>
      </c>
    </row>
    <row r="132" spans="1:12">
      <c r="A132">
        <v>540</v>
      </c>
      <c r="B132">
        <v>2022</v>
      </c>
      <c r="C132" t="s">
        <v>173</v>
      </c>
      <c r="D132" t="s">
        <v>177</v>
      </c>
      <c r="E132" t="s">
        <v>31</v>
      </c>
      <c r="F132">
        <v>115934</v>
      </c>
      <c r="G132" t="s">
        <v>19</v>
      </c>
      <c r="H132">
        <v>115934</v>
      </c>
      <c r="I132" t="s">
        <v>29</v>
      </c>
      <c r="J132">
        <v>100</v>
      </c>
      <c r="K132" t="s">
        <v>29</v>
      </c>
      <c r="L132" t="s">
        <v>170</v>
      </c>
    </row>
    <row r="133" spans="1:12">
      <c r="A133">
        <v>306</v>
      </c>
      <c r="B133">
        <v>2022</v>
      </c>
      <c r="C133" t="s">
        <v>173</v>
      </c>
      <c r="D133" t="s">
        <v>177</v>
      </c>
      <c r="E133" t="s">
        <v>31</v>
      </c>
      <c r="F133">
        <v>116000</v>
      </c>
      <c r="G133" t="s">
        <v>19</v>
      </c>
      <c r="H133">
        <v>116000</v>
      </c>
      <c r="I133" t="s">
        <v>29</v>
      </c>
      <c r="J133">
        <v>0</v>
      </c>
      <c r="K133" t="s">
        <v>29</v>
      </c>
      <c r="L133" t="s">
        <v>170</v>
      </c>
    </row>
    <row r="134" spans="1:12">
      <c r="A134">
        <v>564</v>
      </c>
      <c r="B134">
        <v>2022</v>
      </c>
      <c r="C134" t="s">
        <v>173</v>
      </c>
      <c r="D134" t="s">
        <v>177</v>
      </c>
      <c r="E134" t="s">
        <v>31</v>
      </c>
      <c r="F134">
        <v>116150</v>
      </c>
      <c r="G134" t="s">
        <v>19</v>
      </c>
      <c r="H134">
        <v>116150</v>
      </c>
      <c r="I134" t="s">
        <v>29</v>
      </c>
      <c r="J134">
        <v>100</v>
      </c>
      <c r="K134" t="s">
        <v>29</v>
      </c>
      <c r="L134" t="s">
        <v>170</v>
      </c>
    </row>
    <row r="135" spans="1:12">
      <c r="A135">
        <v>57</v>
      </c>
      <c r="B135">
        <v>2020</v>
      </c>
      <c r="C135" t="s">
        <v>164</v>
      </c>
      <c r="D135" t="s">
        <v>177</v>
      </c>
      <c r="E135" t="s">
        <v>13</v>
      </c>
      <c r="F135">
        <v>118000</v>
      </c>
      <c r="G135" t="s">
        <v>19</v>
      </c>
      <c r="H135">
        <v>118000</v>
      </c>
      <c r="I135" t="s">
        <v>29</v>
      </c>
      <c r="J135">
        <v>100</v>
      </c>
      <c r="K135" t="s">
        <v>29</v>
      </c>
      <c r="L135" t="s">
        <v>170</v>
      </c>
    </row>
    <row r="136" spans="1:12">
      <c r="A136">
        <v>58</v>
      </c>
      <c r="B136">
        <v>2020</v>
      </c>
      <c r="C136" t="s">
        <v>173</v>
      </c>
      <c r="D136" t="s">
        <v>177</v>
      </c>
      <c r="E136" t="s">
        <v>13</v>
      </c>
      <c r="F136">
        <v>120000</v>
      </c>
      <c r="G136" t="s">
        <v>19</v>
      </c>
      <c r="H136">
        <v>120000</v>
      </c>
      <c r="I136" t="s">
        <v>29</v>
      </c>
      <c r="J136">
        <v>50</v>
      </c>
      <c r="K136" t="s">
        <v>29</v>
      </c>
      <c r="L136" t="s">
        <v>171</v>
      </c>
    </row>
    <row r="137" spans="1:12">
      <c r="A137">
        <v>126</v>
      </c>
      <c r="B137">
        <v>2021</v>
      </c>
      <c r="C137" t="s">
        <v>173</v>
      </c>
      <c r="D137" t="s">
        <v>177</v>
      </c>
      <c r="E137" t="s">
        <v>18</v>
      </c>
      <c r="F137">
        <v>120000</v>
      </c>
      <c r="G137" t="s">
        <v>19</v>
      </c>
      <c r="H137">
        <v>120000</v>
      </c>
      <c r="I137" t="s">
        <v>29</v>
      </c>
      <c r="J137">
        <v>50</v>
      </c>
      <c r="K137" t="s">
        <v>29</v>
      </c>
      <c r="L137" t="s">
        <v>169</v>
      </c>
    </row>
    <row r="138" spans="1:12">
      <c r="A138">
        <v>158</v>
      </c>
      <c r="B138">
        <v>2021</v>
      </c>
      <c r="C138" t="s">
        <v>173</v>
      </c>
      <c r="D138" t="s">
        <v>177</v>
      </c>
      <c r="E138" t="s">
        <v>105</v>
      </c>
      <c r="F138">
        <v>120000</v>
      </c>
      <c r="G138" t="s">
        <v>19</v>
      </c>
      <c r="H138">
        <v>120000</v>
      </c>
      <c r="I138" t="s">
        <v>29</v>
      </c>
      <c r="J138">
        <v>100</v>
      </c>
      <c r="K138" t="s">
        <v>29</v>
      </c>
      <c r="L138" t="s">
        <v>170</v>
      </c>
    </row>
    <row r="139" spans="1:12">
      <c r="A139">
        <v>209</v>
      </c>
      <c r="B139">
        <v>2021</v>
      </c>
      <c r="C139" t="s">
        <v>173</v>
      </c>
      <c r="D139" t="s">
        <v>177</v>
      </c>
      <c r="E139" t="s">
        <v>105</v>
      </c>
      <c r="F139">
        <v>120000</v>
      </c>
      <c r="G139" t="s">
        <v>19</v>
      </c>
      <c r="H139">
        <v>120000</v>
      </c>
      <c r="I139" t="s">
        <v>29</v>
      </c>
      <c r="J139">
        <v>0</v>
      </c>
      <c r="K139" t="s">
        <v>29</v>
      </c>
      <c r="L139" t="s">
        <v>171</v>
      </c>
    </row>
    <row r="140" spans="1:12">
      <c r="A140">
        <v>324</v>
      </c>
      <c r="B140">
        <v>2022</v>
      </c>
      <c r="C140" t="s">
        <v>173</v>
      </c>
      <c r="D140" t="s">
        <v>177</v>
      </c>
      <c r="E140" t="s">
        <v>13</v>
      </c>
      <c r="F140">
        <v>120000</v>
      </c>
      <c r="G140" t="s">
        <v>19</v>
      </c>
      <c r="H140">
        <v>120000</v>
      </c>
      <c r="I140" t="s">
        <v>29</v>
      </c>
      <c r="J140">
        <v>0</v>
      </c>
      <c r="K140" t="s">
        <v>29</v>
      </c>
      <c r="L140" t="s">
        <v>171</v>
      </c>
    </row>
    <row r="141" spans="1:12">
      <c r="A141">
        <v>465</v>
      </c>
      <c r="B141">
        <v>2022</v>
      </c>
      <c r="C141" t="s">
        <v>163</v>
      </c>
      <c r="D141" t="s">
        <v>177</v>
      </c>
      <c r="E141" t="s">
        <v>43</v>
      </c>
      <c r="F141">
        <v>120000</v>
      </c>
      <c r="G141" t="s">
        <v>19</v>
      </c>
      <c r="H141">
        <v>120000</v>
      </c>
      <c r="I141" t="s">
        <v>29</v>
      </c>
      <c r="J141">
        <v>100</v>
      </c>
      <c r="K141" t="s">
        <v>29</v>
      </c>
      <c r="L141" t="s">
        <v>170</v>
      </c>
    </row>
    <row r="142" spans="1:12">
      <c r="A142">
        <v>485</v>
      </c>
      <c r="B142">
        <v>2022</v>
      </c>
      <c r="C142" t="s">
        <v>173</v>
      </c>
      <c r="D142" t="s">
        <v>177</v>
      </c>
      <c r="E142" t="s">
        <v>28</v>
      </c>
      <c r="F142">
        <v>120000</v>
      </c>
      <c r="G142" t="s">
        <v>19</v>
      </c>
      <c r="H142">
        <v>120000</v>
      </c>
      <c r="I142" t="s">
        <v>29</v>
      </c>
      <c r="J142">
        <v>100</v>
      </c>
      <c r="K142" t="s">
        <v>29</v>
      </c>
      <c r="L142" t="s">
        <v>170</v>
      </c>
    </row>
    <row r="143" spans="1:12">
      <c r="A143">
        <v>508</v>
      </c>
      <c r="B143">
        <v>2022</v>
      </c>
      <c r="C143" t="s">
        <v>163</v>
      </c>
      <c r="D143" t="s">
        <v>177</v>
      </c>
      <c r="E143" t="s">
        <v>55</v>
      </c>
      <c r="F143">
        <v>120000</v>
      </c>
      <c r="G143" t="s">
        <v>19</v>
      </c>
      <c r="H143">
        <v>120000</v>
      </c>
      <c r="I143" t="s">
        <v>29</v>
      </c>
      <c r="J143">
        <v>100</v>
      </c>
      <c r="K143" t="s">
        <v>29</v>
      </c>
      <c r="L143" t="s">
        <v>171</v>
      </c>
    </row>
    <row r="144" spans="1:12">
      <c r="A144">
        <v>391</v>
      </c>
      <c r="B144">
        <v>2022</v>
      </c>
      <c r="C144" t="s">
        <v>164</v>
      </c>
      <c r="D144" t="s">
        <v>177</v>
      </c>
      <c r="E144" t="s">
        <v>70</v>
      </c>
      <c r="F144">
        <v>120000</v>
      </c>
      <c r="G144" t="s">
        <v>19</v>
      </c>
      <c r="H144">
        <v>120000</v>
      </c>
      <c r="I144" t="s">
        <v>29</v>
      </c>
      <c r="J144">
        <v>0</v>
      </c>
      <c r="K144" t="s">
        <v>29</v>
      </c>
      <c r="L144" t="s">
        <v>170</v>
      </c>
    </row>
    <row r="145" spans="1:12">
      <c r="A145">
        <v>453</v>
      </c>
      <c r="B145">
        <v>2022</v>
      </c>
      <c r="C145" t="s">
        <v>164</v>
      </c>
      <c r="D145" t="s">
        <v>177</v>
      </c>
      <c r="E145" t="s">
        <v>28</v>
      </c>
      <c r="F145">
        <v>120000</v>
      </c>
      <c r="G145" t="s">
        <v>19</v>
      </c>
      <c r="H145">
        <v>120000</v>
      </c>
      <c r="I145" t="s">
        <v>29</v>
      </c>
      <c r="J145">
        <v>100</v>
      </c>
      <c r="K145" t="s">
        <v>29</v>
      </c>
      <c r="L145" t="s">
        <v>169</v>
      </c>
    </row>
    <row r="146" spans="1:12">
      <c r="A146">
        <v>479</v>
      </c>
      <c r="B146">
        <v>2022</v>
      </c>
      <c r="C146" t="s">
        <v>164</v>
      </c>
      <c r="D146" t="s">
        <v>177</v>
      </c>
      <c r="E146" t="s">
        <v>13</v>
      </c>
      <c r="F146">
        <v>120000</v>
      </c>
      <c r="G146" t="s">
        <v>19</v>
      </c>
      <c r="H146">
        <v>120000</v>
      </c>
      <c r="I146" t="s">
        <v>29</v>
      </c>
      <c r="J146">
        <v>100</v>
      </c>
      <c r="K146" t="s">
        <v>29</v>
      </c>
      <c r="L146" t="s">
        <v>170</v>
      </c>
    </row>
    <row r="147" spans="1:12">
      <c r="A147">
        <v>317</v>
      </c>
      <c r="B147">
        <v>2022</v>
      </c>
      <c r="C147" t="s">
        <v>173</v>
      </c>
      <c r="D147" t="s">
        <v>177</v>
      </c>
      <c r="E147" t="s">
        <v>13</v>
      </c>
      <c r="F147">
        <v>120160</v>
      </c>
      <c r="G147" t="s">
        <v>19</v>
      </c>
      <c r="H147">
        <v>120160</v>
      </c>
      <c r="I147" t="s">
        <v>29</v>
      </c>
      <c r="J147">
        <v>100</v>
      </c>
      <c r="K147" t="s">
        <v>29</v>
      </c>
      <c r="L147" t="s">
        <v>170</v>
      </c>
    </row>
    <row r="148" spans="1:12">
      <c r="A148">
        <v>291</v>
      </c>
      <c r="B148">
        <v>2022</v>
      </c>
      <c r="C148" t="s">
        <v>173</v>
      </c>
      <c r="D148" t="s">
        <v>177</v>
      </c>
      <c r="E148" t="s">
        <v>31</v>
      </c>
      <c r="F148">
        <v>120600</v>
      </c>
      <c r="G148" t="s">
        <v>19</v>
      </c>
      <c r="H148">
        <v>120600</v>
      </c>
      <c r="I148" t="s">
        <v>29</v>
      </c>
      <c r="J148">
        <v>100</v>
      </c>
      <c r="K148" t="s">
        <v>29</v>
      </c>
      <c r="L148" t="s">
        <v>170</v>
      </c>
    </row>
    <row r="149" spans="1:12">
      <c r="A149">
        <v>303</v>
      </c>
      <c r="B149">
        <v>2022</v>
      </c>
      <c r="C149" t="s">
        <v>173</v>
      </c>
      <c r="D149" t="s">
        <v>177</v>
      </c>
      <c r="E149" t="s">
        <v>13</v>
      </c>
      <c r="F149">
        <v>123000</v>
      </c>
      <c r="G149" t="s">
        <v>19</v>
      </c>
      <c r="H149">
        <v>123000</v>
      </c>
      <c r="I149" t="s">
        <v>29</v>
      </c>
      <c r="J149">
        <v>100</v>
      </c>
      <c r="K149" t="s">
        <v>29</v>
      </c>
      <c r="L149" t="s">
        <v>170</v>
      </c>
    </row>
    <row r="150" spans="1:12">
      <c r="A150">
        <v>353</v>
      </c>
      <c r="B150">
        <v>2022</v>
      </c>
      <c r="C150" t="s">
        <v>173</v>
      </c>
      <c r="D150" t="s">
        <v>177</v>
      </c>
      <c r="E150" t="s">
        <v>13</v>
      </c>
      <c r="F150">
        <v>123000</v>
      </c>
      <c r="G150" t="s">
        <v>19</v>
      </c>
      <c r="H150">
        <v>123000</v>
      </c>
      <c r="I150" t="s">
        <v>29</v>
      </c>
      <c r="J150">
        <v>100</v>
      </c>
      <c r="K150" t="s">
        <v>29</v>
      </c>
      <c r="L150" t="s">
        <v>170</v>
      </c>
    </row>
    <row r="151" spans="1:12">
      <c r="A151">
        <v>370</v>
      </c>
      <c r="B151">
        <v>2022</v>
      </c>
      <c r="C151" t="s">
        <v>173</v>
      </c>
      <c r="D151" t="s">
        <v>177</v>
      </c>
      <c r="E151" t="s">
        <v>13</v>
      </c>
      <c r="F151">
        <v>123000</v>
      </c>
      <c r="G151" t="s">
        <v>19</v>
      </c>
      <c r="H151">
        <v>123000</v>
      </c>
      <c r="I151" t="s">
        <v>29</v>
      </c>
      <c r="J151">
        <v>100</v>
      </c>
      <c r="K151" t="s">
        <v>29</v>
      </c>
      <c r="L151" t="s">
        <v>170</v>
      </c>
    </row>
    <row r="152" spans="1:12">
      <c r="A152">
        <v>325</v>
      </c>
      <c r="B152">
        <v>2022</v>
      </c>
      <c r="C152" t="s">
        <v>173</v>
      </c>
      <c r="D152" t="s">
        <v>177</v>
      </c>
      <c r="E152" t="s">
        <v>31</v>
      </c>
      <c r="F152">
        <v>124190</v>
      </c>
      <c r="G152" t="s">
        <v>19</v>
      </c>
      <c r="H152">
        <v>124190</v>
      </c>
      <c r="I152" t="s">
        <v>29</v>
      </c>
      <c r="J152">
        <v>100</v>
      </c>
      <c r="K152" t="s">
        <v>29</v>
      </c>
      <c r="L152" t="s">
        <v>170</v>
      </c>
    </row>
    <row r="153" spans="1:12">
      <c r="A153">
        <v>159</v>
      </c>
      <c r="B153">
        <v>2021</v>
      </c>
      <c r="C153" t="s">
        <v>163</v>
      </c>
      <c r="D153" t="s">
        <v>177</v>
      </c>
      <c r="E153" t="s">
        <v>28</v>
      </c>
      <c r="F153">
        <v>125000</v>
      </c>
      <c r="G153" t="s">
        <v>19</v>
      </c>
      <c r="H153">
        <v>125000</v>
      </c>
      <c r="I153" t="s">
        <v>29</v>
      </c>
      <c r="J153">
        <v>100</v>
      </c>
      <c r="K153" t="s">
        <v>29</v>
      </c>
      <c r="L153" t="s">
        <v>169</v>
      </c>
    </row>
    <row r="154" spans="1:12">
      <c r="A154">
        <v>454</v>
      </c>
      <c r="B154">
        <v>2022</v>
      </c>
      <c r="C154" t="s">
        <v>163</v>
      </c>
      <c r="D154" t="s">
        <v>177</v>
      </c>
      <c r="E154" t="s">
        <v>74</v>
      </c>
      <c r="F154">
        <v>125000</v>
      </c>
      <c r="G154" t="s">
        <v>19</v>
      </c>
      <c r="H154">
        <v>125000</v>
      </c>
      <c r="I154" t="s">
        <v>29</v>
      </c>
      <c r="J154">
        <v>0</v>
      </c>
      <c r="K154" t="s">
        <v>29</v>
      </c>
      <c r="L154" t="s">
        <v>170</v>
      </c>
    </row>
    <row r="155" spans="1:12">
      <c r="A155">
        <v>603</v>
      </c>
      <c r="B155">
        <v>2022</v>
      </c>
      <c r="C155" t="s">
        <v>173</v>
      </c>
      <c r="D155" t="s">
        <v>177</v>
      </c>
      <c r="E155" t="s">
        <v>43</v>
      </c>
      <c r="F155">
        <v>126000</v>
      </c>
      <c r="G155" t="s">
        <v>19</v>
      </c>
      <c r="H155">
        <v>126000</v>
      </c>
      <c r="I155" t="s">
        <v>29</v>
      </c>
      <c r="J155">
        <v>100</v>
      </c>
      <c r="K155" t="s">
        <v>29</v>
      </c>
      <c r="L155" t="s">
        <v>170</v>
      </c>
    </row>
    <row r="156" spans="1:12">
      <c r="A156">
        <v>580</v>
      </c>
      <c r="B156">
        <v>2022</v>
      </c>
      <c r="C156" t="s">
        <v>173</v>
      </c>
      <c r="D156" t="s">
        <v>177</v>
      </c>
      <c r="E156" t="s">
        <v>31</v>
      </c>
      <c r="F156">
        <v>126500</v>
      </c>
      <c r="G156" t="s">
        <v>19</v>
      </c>
      <c r="H156">
        <v>126500</v>
      </c>
      <c r="I156" t="s">
        <v>29</v>
      </c>
      <c r="J156">
        <v>100</v>
      </c>
      <c r="K156" t="s">
        <v>29</v>
      </c>
      <c r="L156" t="s">
        <v>170</v>
      </c>
    </row>
    <row r="157" spans="1:12">
      <c r="A157">
        <v>308</v>
      </c>
      <c r="B157">
        <v>2022</v>
      </c>
      <c r="C157" t="s">
        <v>164</v>
      </c>
      <c r="D157" t="s">
        <v>177</v>
      </c>
      <c r="E157" t="s">
        <v>31</v>
      </c>
      <c r="F157">
        <v>126500</v>
      </c>
      <c r="G157" t="s">
        <v>19</v>
      </c>
      <c r="H157">
        <v>126500</v>
      </c>
      <c r="I157" t="s">
        <v>29</v>
      </c>
      <c r="J157">
        <v>0</v>
      </c>
      <c r="K157" t="s">
        <v>29</v>
      </c>
      <c r="L157" t="s">
        <v>170</v>
      </c>
    </row>
    <row r="158" spans="1:12">
      <c r="A158">
        <v>340</v>
      </c>
      <c r="B158">
        <v>2022</v>
      </c>
      <c r="C158" t="s">
        <v>173</v>
      </c>
      <c r="D158" t="s">
        <v>177</v>
      </c>
      <c r="E158" t="s">
        <v>43</v>
      </c>
      <c r="F158">
        <v>128875</v>
      </c>
      <c r="G158" t="s">
        <v>19</v>
      </c>
      <c r="H158">
        <v>128875</v>
      </c>
      <c r="I158" t="s">
        <v>29</v>
      </c>
      <c r="J158">
        <v>100</v>
      </c>
      <c r="K158" t="s">
        <v>29</v>
      </c>
      <c r="L158" t="s">
        <v>170</v>
      </c>
    </row>
    <row r="159" spans="1:12">
      <c r="A159">
        <v>382</v>
      </c>
      <c r="B159">
        <v>2022</v>
      </c>
      <c r="C159" t="s">
        <v>173</v>
      </c>
      <c r="D159" t="s">
        <v>177</v>
      </c>
      <c r="E159" t="s">
        <v>31</v>
      </c>
      <c r="F159">
        <v>128875</v>
      </c>
      <c r="G159" t="s">
        <v>19</v>
      </c>
      <c r="H159">
        <v>128875</v>
      </c>
      <c r="I159" t="s">
        <v>29</v>
      </c>
      <c r="J159">
        <v>100</v>
      </c>
      <c r="K159" t="s">
        <v>29</v>
      </c>
      <c r="L159" t="s">
        <v>170</v>
      </c>
    </row>
    <row r="160" spans="1:12">
      <c r="A160">
        <v>604</v>
      </c>
      <c r="B160">
        <v>2022</v>
      </c>
      <c r="C160" t="s">
        <v>173</v>
      </c>
      <c r="D160" t="s">
        <v>177</v>
      </c>
      <c r="E160" t="s">
        <v>31</v>
      </c>
      <c r="F160">
        <v>129000</v>
      </c>
      <c r="G160" t="s">
        <v>19</v>
      </c>
      <c r="H160">
        <v>129000</v>
      </c>
      <c r="I160" t="s">
        <v>29</v>
      </c>
      <c r="J160">
        <v>0</v>
      </c>
      <c r="K160" t="s">
        <v>29</v>
      </c>
      <c r="L160" t="s">
        <v>170</v>
      </c>
    </row>
    <row r="161" spans="1:12">
      <c r="A161">
        <v>326</v>
      </c>
      <c r="B161">
        <v>2022</v>
      </c>
      <c r="C161" t="s">
        <v>165</v>
      </c>
      <c r="D161" t="s">
        <v>177</v>
      </c>
      <c r="E161" t="s">
        <v>31</v>
      </c>
      <c r="F161">
        <v>130000</v>
      </c>
      <c r="G161" t="s">
        <v>19</v>
      </c>
      <c r="H161">
        <v>130000</v>
      </c>
      <c r="I161" t="s">
        <v>29</v>
      </c>
      <c r="J161">
        <v>100</v>
      </c>
      <c r="K161" t="s">
        <v>29</v>
      </c>
      <c r="L161" t="s">
        <v>170</v>
      </c>
    </row>
    <row r="162" spans="1:12">
      <c r="A162">
        <v>544</v>
      </c>
      <c r="B162">
        <v>2022</v>
      </c>
      <c r="C162" t="s">
        <v>173</v>
      </c>
      <c r="D162" t="s">
        <v>177</v>
      </c>
      <c r="E162" t="s">
        <v>43</v>
      </c>
      <c r="F162">
        <v>130000</v>
      </c>
      <c r="G162" t="s">
        <v>19</v>
      </c>
      <c r="H162">
        <v>130000</v>
      </c>
      <c r="I162" t="s">
        <v>29</v>
      </c>
      <c r="J162">
        <v>100</v>
      </c>
      <c r="K162" t="s">
        <v>29</v>
      </c>
      <c r="L162" t="s">
        <v>170</v>
      </c>
    </row>
    <row r="163" spans="1:12">
      <c r="A163">
        <v>547</v>
      </c>
      <c r="B163">
        <v>2022</v>
      </c>
      <c r="C163" t="s">
        <v>173</v>
      </c>
      <c r="D163" t="s">
        <v>177</v>
      </c>
      <c r="E163" t="s">
        <v>43</v>
      </c>
      <c r="F163">
        <v>130000</v>
      </c>
      <c r="G163" t="s">
        <v>19</v>
      </c>
      <c r="H163">
        <v>130000</v>
      </c>
      <c r="I163" t="s">
        <v>29</v>
      </c>
      <c r="J163">
        <v>100</v>
      </c>
      <c r="K163" t="s">
        <v>29</v>
      </c>
      <c r="L163" t="s">
        <v>170</v>
      </c>
    </row>
    <row r="164" spans="1:12">
      <c r="A164">
        <v>260</v>
      </c>
      <c r="B164">
        <v>2021</v>
      </c>
      <c r="C164" t="s">
        <v>164</v>
      </c>
      <c r="D164" t="s">
        <v>177</v>
      </c>
      <c r="E164" t="s">
        <v>13</v>
      </c>
      <c r="F164">
        <v>130000</v>
      </c>
      <c r="G164" t="s">
        <v>19</v>
      </c>
      <c r="H164">
        <v>130000</v>
      </c>
      <c r="I164" t="s">
        <v>29</v>
      </c>
      <c r="J164">
        <v>50</v>
      </c>
      <c r="K164" t="s">
        <v>29</v>
      </c>
      <c r="L164" t="s">
        <v>171</v>
      </c>
    </row>
    <row r="165" spans="1:12">
      <c r="A165">
        <v>292</v>
      </c>
      <c r="B165">
        <v>2022</v>
      </c>
      <c r="C165" t="s">
        <v>164</v>
      </c>
      <c r="D165" t="s">
        <v>177</v>
      </c>
      <c r="E165" t="s">
        <v>13</v>
      </c>
      <c r="F165">
        <v>130000</v>
      </c>
      <c r="G165" t="s">
        <v>19</v>
      </c>
      <c r="H165">
        <v>130000</v>
      </c>
      <c r="I165" t="s">
        <v>29</v>
      </c>
      <c r="J165">
        <v>0</v>
      </c>
      <c r="K165" t="s">
        <v>29</v>
      </c>
      <c r="L165" t="s">
        <v>170</v>
      </c>
    </row>
    <row r="166" spans="1:12">
      <c r="A166">
        <v>599</v>
      </c>
      <c r="B166">
        <v>2022</v>
      </c>
      <c r="C166" t="s">
        <v>164</v>
      </c>
      <c r="D166" t="s">
        <v>177</v>
      </c>
      <c r="E166" t="s">
        <v>13</v>
      </c>
      <c r="F166">
        <v>130000</v>
      </c>
      <c r="G166" t="s">
        <v>19</v>
      </c>
      <c r="H166">
        <v>130000</v>
      </c>
      <c r="I166" t="s">
        <v>29</v>
      </c>
      <c r="J166">
        <v>100</v>
      </c>
      <c r="K166" t="s">
        <v>29</v>
      </c>
      <c r="L166" t="s">
        <v>170</v>
      </c>
    </row>
    <row r="167" spans="1:12">
      <c r="A167">
        <v>61</v>
      </c>
      <c r="B167">
        <v>2020</v>
      </c>
      <c r="C167" t="s">
        <v>164</v>
      </c>
      <c r="D167" t="s">
        <v>177</v>
      </c>
      <c r="E167" t="s">
        <v>43</v>
      </c>
      <c r="F167">
        <v>130800</v>
      </c>
      <c r="G167" t="s">
        <v>19</v>
      </c>
      <c r="H167">
        <v>130800</v>
      </c>
      <c r="I167" t="s">
        <v>67</v>
      </c>
      <c r="J167">
        <v>100</v>
      </c>
      <c r="K167" t="s">
        <v>29</v>
      </c>
      <c r="L167" t="s">
        <v>170</v>
      </c>
    </row>
    <row r="168" spans="1:12">
      <c r="A168">
        <v>376</v>
      </c>
      <c r="B168">
        <v>2022</v>
      </c>
      <c r="C168" t="s">
        <v>173</v>
      </c>
      <c r="D168" t="s">
        <v>177</v>
      </c>
      <c r="E168" t="s">
        <v>31</v>
      </c>
      <c r="F168">
        <v>132000</v>
      </c>
      <c r="G168" t="s">
        <v>19</v>
      </c>
      <c r="H168">
        <v>132000</v>
      </c>
      <c r="I168" t="s">
        <v>29</v>
      </c>
      <c r="J168">
        <v>0</v>
      </c>
      <c r="K168" t="s">
        <v>29</v>
      </c>
      <c r="L168" t="s">
        <v>170</v>
      </c>
    </row>
    <row r="169" spans="1:12">
      <c r="A169">
        <v>320</v>
      </c>
      <c r="B169">
        <v>2022</v>
      </c>
      <c r="C169" t="s">
        <v>173</v>
      </c>
      <c r="D169" t="s">
        <v>177</v>
      </c>
      <c r="E169" t="s">
        <v>43</v>
      </c>
      <c r="F169">
        <v>132320</v>
      </c>
      <c r="G169" t="s">
        <v>19</v>
      </c>
      <c r="H169">
        <v>132320</v>
      </c>
      <c r="I169" t="s">
        <v>29</v>
      </c>
      <c r="J169">
        <v>0</v>
      </c>
      <c r="K169" t="s">
        <v>29</v>
      </c>
      <c r="L169" t="s">
        <v>170</v>
      </c>
    </row>
    <row r="170" spans="1:12">
      <c r="A170">
        <v>335</v>
      </c>
      <c r="B170">
        <v>2022</v>
      </c>
      <c r="C170" t="s">
        <v>173</v>
      </c>
      <c r="D170" t="s">
        <v>177</v>
      </c>
      <c r="E170" t="s">
        <v>43</v>
      </c>
      <c r="F170">
        <v>132320</v>
      </c>
      <c r="G170" t="s">
        <v>19</v>
      </c>
      <c r="H170">
        <v>132320</v>
      </c>
      <c r="I170" t="s">
        <v>29</v>
      </c>
      <c r="J170">
        <v>100</v>
      </c>
      <c r="K170" t="s">
        <v>29</v>
      </c>
      <c r="L170" t="s">
        <v>170</v>
      </c>
    </row>
    <row r="171" spans="1:12">
      <c r="A171">
        <v>385</v>
      </c>
      <c r="B171">
        <v>2022</v>
      </c>
      <c r="C171" t="s">
        <v>173</v>
      </c>
      <c r="D171" t="s">
        <v>177</v>
      </c>
      <c r="E171" t="s">
        <v>43</v>
      </c>
      <c r="F171">
        <v>132320</v>
      </c>
      <c r="G171" t="s">
        <v>19</v>
      </c>
      <c r="H171">
        <v>132320</v>
      </c>
      <c r="I171" t="s">
        <v>29</v>
      </c>
      <c r="J171">
        <v>100</v>
      </c>
      <c r="K171" t="s">
        <v>29</v>
      </c>
      <c r="L171" t="s">
        <v>170</v>
      </c>
    </row>
    <row r="172" spans="1:12">
      <c r="A172">
        <v>368</v>
      </c>
      <c r="B172">
        <v>2022</v>
      </c>
      <c r="C172" t="s">
        <v>165</v>
      </c>
      <c r="D172" t="s">
        <v>177</v>
      </c>
      <c r="E172" t="s">
        <v>131</v>
      </c>
      <c r="F172">
        <v>135000</v>
      </c>
      <c r="G172" t="s">
        <v>19</v>
      </c>
      <c r="H172">
        <v>135000</v>
      </c>
      <c r="I172" t="s">
        <v>29</v>
      </c>
      <c r="J172">
        <v>100</v>
      </c>
      <c r="K172" t="s">
        <v>29</v>
      </c>
      <c r="L172" t="s">
        <v>170</v>
      </c>
    </row>
    <row r="173" spans="1:12">
      <c r="A173">
        <v>228</v>
      </c>
      <c r="B173">
        <v>2021</v>
      </c>
      <c r="C173" t="s">
        <v>173</v>
      </c>
      <c r="D173" t="s">
        <v>177</v>
      </c>
      <c r="E173" t="s">
        <v>13</v>
      </c>
      <c r="F173">
        <v>135000</v>
      </c>
      <c r="G173" t="s">
        <v>19</v>
      </c>
      <c r="H173">
        <v>135000</v>
      </c>
      <c r="I173" t="s">
        <v>29</v>
      </c>
      <c r="J173">
        <v>0</v>
      </c>
      <c r="K173" t="s">
        <v>29</v>
      </c>
      <c r="L173" t="s">
        <v>171</v>
      </c>
    </row>
    <row r="174" spans="1:12">
      <c r="A174">
        <v>289</v>
      </c>
      <c r="B174">
        <v>2022</v>
      </c>
      <c r="C174" t="s">
        <v>173</v>
      </c>
      <c r="D174" t="s">
        <v>177</v>
      </c>
      <c r="E174" t="s">
        <v>43</v>
      </c>
      <c r="F174">
        <v>135000</v>
      </c>
      <c r="G174" t="s">
        <v>19</v>
      </c>
      <c r="H174">
        <v>135000</v>
      </c>
      <c r="I174" t="s">
        <v>29</v>
      </c>
      <c r="J174">
        <v>100</v>
      </c>
      <c r="K174" t="s">
        <v>29</v>
      </c>
      <c r="L174" t="s">
        <v>170</v>
      </c>
    </row>
    <row r="175" spans="1:12">
      <c r="A175">
        <v>349</v>
      </c>
      <c r="B175">
        <v>2022</v>
      </c>
      <c r="C175" t="s">
        <v>173</v>
      </c>
      <c r="D175" t="s">
        <v>177</v>
      </c>
      <c r="E175" t="s">
        <v>31</v>
      </c>
      <c r="F175">
        <v>135000</v>
      </c>
      <c r="G175" t="s">
        <v>19</v>
      </c>
      <c r="H175">
        <v>135000</v>
      </c>
      <c r="I175" t="s">
        <v>29</v>
      </c>
      <c r="J175">
        <v>100</v>
      </c>
      <c r="K175" t="s">
        <v>29</v>
      </c>
      <c r="L175" t="s">
        <v>170</v>
      </c>
    </row>
    <row r="176" spans="1:12">
      <c r="A176">
        <v>527</v>
      </c>
      <c r="B176">
        <v>2022</v>
      </c>
      <c r="C176" t="s">
        <v>173</v>
      </c>
      <c r="D176" t="s">
        <v>177</v>
      </c>
      <c r="E176" t="s">
        <v>31</v>
      </c>
      <c r="F176">
        <v>135000</v>
      </c>
      <c r="G176" t="s">
        <v>19</v>
      </c>
      <c r="H176">
        <v>135000</v>
      </c>
      <c r="I176" t="s">
        <v>29</v>
      </c>
      <c r="J176">
        <v>100</v>
      </c>
      <c r="K176" t="s">
        <v>29</v>
      </c>
      <c r="L176" t="s">
        <v>170</v>
      </c>
    </row>
    <row r="177" spans="1:12">
      <c r="A177">
        <v>8</v>
      </c>
      <c r="B177">
        <v>2020</v>
      </c>
      <c r="C177" t="s">
        <v>164</v>
      </c>
      <c r="D177" t="s">
        <v>177</v>
      </c>
      <c r="E177" t="s">
        <v>35</v>
      </c>
      <c r="F177">
        <v>135000</v>
      </c>
      <c r="G177" t="s">
        <v>19</v>
      </c>
      <c r="H177">
        <v>135000</v>
      </c>
      <c r="I177" t="s">
        <v>29</v>
      </c>
      <c r="J177">
        <v>100</v>
      </c>
      <c r="K177" t="s">
        <v>29</v>
      </c>
      <c r="L177" t="s">
        <v>171</v>
      </c>
    </row>
    <row r="178" spans="1:12">
      <c r="A178">
        <v>140</v>
      </c>
      <c r="B178">
        <v>2021</v>
      </c>
      <c r="C178" t="s">
        <v>164</v>
      </c>
      <c r="D178" t="s">
        <v>177</v>
      </c>
      <c r="E178" t="s">
        <v>31</v>
      </c>
      <c r="F178">
        <v>135000</v>
      </c>
      <c r="G178" t="s">
        <v>19</v>
      </c>
      <c r="H178">
        <v>135000</v>
      </c>
      <c r="I178" t="s">
        <v>29</v>
      </c>
      <c r="J178">
        <v>100</v>
      </c>
      <c r="K178" t="s">
        <v>29</v>
      </c>
      <c r="L178" t="s">
        <v>171</v>
      </c>
    </row>
    <row r="179" spans="1:12">
      <c r="A179">
        <v>470</v>
      </c>
      <c r="B179">
        <v>2022</v>
      </c>
      <c r="C179" t="s">
        <v>164</v>
      </c>
      <c r="D179" t="s">
        <v>177</v>
      </c>
      <c r="E179" t="s">
        <v>31</v>
      </c>
      <c r="F179">
        <v>135000</v>
      </c>
      <c r="G179" t="s">
        <v>19</v>
      </c>
      <c r="H179">
        <v>135000</v>
      </c>
      <c r="I179" t="s">
        <v>29</v>
      </c>
      <c r="J179">
        <v>100</v>
      </c>
      <c r="K179" t="s">
        <v>29</v>
      </c>
      <c r="L179" t="s">
        <v>170</v>
      </c>
    </row>
    <row r="180" spans="1:12">
      <c r="A180">
        <v>524</v>
      </c>
      <c r="B180">
        <v>2022</v>
      </c>
      <c r="C180" t="s">
        <v>164</v>
      </c>
      <c r="D180" t="s">
        <v>177</v>
      </c>
      <c r="E180" t="s">
        <v>13</v>
      </c>
      <c r="F180">
        <v>135000</v>
      </c>
      <c r="G180" t="s">
        <v>19</v>
      </c>
      <c r="H180">
        <v>135000</v>
      </c>
      <c r="I180" t="s">
        <v>29</v>
      </c>
      <c r="J180">
        <v>100</v>
      </c>
      <c r="K180" t="s">
        <v>29</v>
      </c>
      <c r="L180" t="s">
        <v>171</v>
      </c>
    </row>
    <row r="181" spans="1:12">
      <c r="A181">
        <v>366</v>
      </c>
      <c r="B181">
        <v>2022</v>
      </c>
      <c r="C181" t="s">
        <v>173</v>
      </c>
      <c r="D181" t="s">
        <v>177</v>
      </c>
      <c r="E181" t="s">
        <v>43</v>
      </c>
      <c r="F181">
        <v>136000</v>
      </c>
      <c r="G181" t="s">
        <v>19</v>
      </c>
      <c r="H181">
        <v>136000</v>
      </c>
      <c r="I181" t="s">
        <v>29</v>
      </c>
      <c r="J181">
        <v>0</v>
      </c>
      <c r="K181" t="s">
        <v>29</v>
      </c>
      <c r="L181" t="s">
        <v>170</v>
      </c>
    </row>
    <row r="182" spans="1:12">
      <c r="A182">
        <v>338</v>
      </c>
      <c r="B182">
        <v>2022</v>
      </c>
      <c r="C182" t="s">
        <v>173</v>
      </c>
      <c r="D182" t="s">
        <v>177</v>
      </c>
      <c r="E182" t="s">
        <v>31</v>
      </c>
      <c r="F182">
        <v>136600</v>
      </c>
      <c r="G182" t="s">
        <v>19</v>
      </c>
      <c r="H182">
        <v>136600</v>
      </c>
      <c r="I182" t="s">
        <v>29</v>
      </c>
      <c r="J182">
        <v>100</v>
      </c>
      <c r="K182" t="s">
        <v>29</v>
      </c>
      <c r="L182" t="s">
        <v>170</v>
      </c>
    </row>
    <row r="183" spans="1:12">
      <c r="A183">
        <v>298</v>
      </c>
      <c r="B183">
        <v>2022</v>
      </c>
      <c r="C183" t="s">
        <v>173</v>
      </c>
      <c r="D183" t="s">
        <v>177</v>
      </c>
      <c r="E183" t="s">
        <v>13</v>
      </c>
      <c r="F183">
        <v>136620</v>
      </c>
      <c r="G183" t="s">
        <v>19</v>
      </c>
      <c r="H183">
        <v>136620</v>
      </c>
      <c r="I183" t="s">
        <v>29</v>
      </c>
      <c r="J183">
        <v>100</v>
      </c>
      <c r="K183" t="s">
        <v>29</v>
      </c>
      <c r="L183" t="s">
        <v>170</v>
      </c>
    </row>
    <row r="184" spans="1:12">
      <c r="A184">
        <v>380</v>
      </c>
      <c r="B184">
        <v>2022</v>
      </c>
      <c r="C184" t="s">
        <v>173</v>
      </c>
      <c r="D184" t="s">
        <v>177</v>
      </c>
      <c r="E184" t="s">
        <v>43</v>
      </c>
      <c r="F184">
        <v>136994</v>
      </c>
      <c r="G184" t="s">
        <v>19</v>
      </c>
      <c r="H184">
        <v>136994</v>
      </c>
      <c r="I184" t="s">
        <v>29</v>
      </c>
      <c r="J184">
        <v>100</v>
      </c>
      <c r="K184" t="s">
        <v>29</v>
      </c>
      <c r="L184" t="s">
        <v>170</v>
      </c>
    </row>
    <row r="185" spans="1:12">
      <c r="A185">
        <v>351</v>
      </c>
      <c r="B185">
        <v>2022</v>
      </c>
      <c r="C185" t="s">
        <v>173</v>
      </c>
      <c r="D185" t="s">
        <v>177</v>
      </c>
      <c r="E185" t="s">
        <v>79</v>
      </c>
      <c r="F185">
        <v>137141</v>
      </c>
      <c r="G185" t="s">
        <v>19</v>
      </c>
      <c r="H185">
        <v>137141</v>
      </c>
      <c r="I185" t="s">
        <v>29</v>
      </c>
      <c r="J185">
        <v>100</v>
      </c>
      <c r="K185" t="s">
        <v>29</v>
      </c>
      <c r="L185" t="s">
        <v>170</v>
      </c>
    </row>
    <row r="186" spans="1:12">
      <c r="A186">
        <v>39</v>
      </c>
      <c r="B186">
        <v>2020</v>
      </c>
      <c r="C186" t="s">
        <v>163</v>
      </c>
      <c r="D186" t="s">
        <v>177</v>
      </c>
      <c r="E186" t="s">
        <v>28</v>
      </c>
      <c r="F186">
        <v>138000</v>
      </c>
      <c r="G186" t="s">
        <v>19</v>
      </c>
      <c r="H186">
        <v>138000</v>
      </c>
      <c r="I186" t="s">
        <v>29</v>
      </c>
      <c r="J186">
        <v>100</v>
      </c>
      <c r="K186" t="s">
        <v>29</v>
      </c>
      <c r="L186" t="s">
        <v>169</v>
      </c>
    </row>
    <row r="187" spans="1:12">
      <c r="A187">
        <v>59</v>
      </c>
      <c r="B187">
        <v>2020</v>
      </c>
      <c r="C187" t="s">
        <v>164</v>
      </c>
      <c r="D187" t="s">
        <v>177</v>
      </c>
      <c r="E187" t="s">
        <v>13</v>
      </c>
      <c r="F187">
        <v>138350</v>
      </c>
      <c r="G187" t="s">
        <v>19</v>
      </c>
      <c r="H187">
        <v>138350</v>
      </c>
      <c r="I187" t="s">
        <v>29</v>
      </c>
      <c r="J187">
        <v>100</v>
      </c>
      <c r="K187" t="s">
        <v>29</v>
      </c>
      <c r="L187" t="s">
        <v>170</v>
      </c>
    </row>
    <row r="188" spans="1:12">
      <c r="A188">
        <v>365</v>
      </c>
      <c r="B188">
        <v>2022</v>
      </c>
      <c r="C188" t="s">
        <v>173</v>
      </c>
      <c r="D188" t="s">
        <v>177</v>
      </c>
      <c r="E188" t="s">
        <v>13</v>
      </c>
      <c r="F188">
        <v>138600</v>
      </c>
      <c r="G188" t="s">
        <v>19</v>
      </c>
      <c r="H188">
        <v>138600</v>
      </c>
      <c r="I188" t="s">
        <v>29</v>
      </c>
      <c r="J188">
        <v>100</v>
      </c>
      <c r="K188" t="s">
        <v>29</v>
      </c>
      <c r="L188" t="s">
        <v>170</v>
      </c>
    </row>
    <row r="189" spans="1:12">
      <c r="A189">
        <v>219</v>
      </c>
      <c r="B189">
        <v>2021</v>
      </c>
      <c r="C189" t="s">
        <v>173</v>
      </c>
      <c r="D189" t="s">
        <v>177</v>
      </c>
      <c r="E189" t="s">
        <v>105</v>
      </c>
      <c r="F189">
        <v>140000</v>
      </c>
      <c r="G189" t="s">
        <v>19</v>
      </c>
      <c r="H189">
        <v>140000</v>
      </c>
      <c r="I189" t="s">
        <v>29</v>
      </c>
      <c r="J189">
        <v>100</v>
      </c>
      <c r="K189" t="s">
        <v>29</v>
      </c>
      <c r="L189" t="s">
        <v>171</v>
      </c>
    </row>
    <row r="190" spans="1:12">
      <c r="A190">
        <v>469</v>
      </c>
      <c r="B190">
        <v>2022</v>
      </c>
      <c r="C190" t="s">
        <v>173</v>
      </c>
      <c r="D190" t="s">
        <v>177</v>
      </c>
      <c r="E190" t="s">
        <v>13</v>
      </c>
      <c r="F190">
        <v>140000</v>
      </c>
      <c r="G190" t="s">
        <v>19</v>
      </c>
      <c r="H190">
        <v>140000</v>
      </c>
      <c r="I190" t="s">
        <v>29</v>
      </c>
      <c r="J190">
        <v>100</v>
      </c>
      <c r="K190" t="s">
        <v>29</v>
      </c>
      <c r="L190" t="s">
        <v>170</v>
      </c>
    </row>
    <row r="191" spans="1:12">
      <c r="A191">
        <v>473</v>
      </c>
      <c r="B191">
        <v>2022</v>
      </c>
      <c r="C191" t="s">
        <v>173</v>
      </c>
      <c r="D191" t="s">
        <v>177</v>
      </c>
      <c r="E191" t="s">
        <v>13</v>
      </c>
      <c r="F191">
        <v>140000</v>
      </c>
      <c r="G191" t="s">
        <v>19</v>
      </c>
      <c r="H191">
        <v>140000</v>
      </c>
      <c r="I191" t="s">
        <v>29</v>
      </c>
      <c r="J191">
        <v>100</v>
      </c>
      <c r="K191" t="s">
        <v>29</v>
      </c>
      <c r="L191" t="s">
        <v>170</v>
      </c>
    </row>
    <row r="192" spans="1:12">
      <c r="A192">
        <v>569</v>
      </c>
      <c r="B192">
        <v>2022</v>
      </c>
      <c r="C192" t="s">
        <v>173</v>
      </c>
      <c r="D192" t="s">
        <v>177</v>
      </c>
      <c r="E192" t="s">
        <v>13</v>
      </c>
      <c r="F192">
        <v>140000</v>
      </c>
      <c r="G192" t="s">
        <v>19</v>
      </c>
      <c r="H192">
        <v>140000</v>
      </c>
      <c r="I192" t="s">
        <v>29</v>
      </c>
      <c r="J192">
        <v>100</v>
      </c>
      <c r="K192" t="s">
        <v>29</v>
      </c>
      <c r="L192" t="s">
        <v>170</v>
      </c>
    </row>
    <row r="193" spans="1:12">
      <c r="A193">
        <v>571</v>
      </c>
      <c r="B193">
        <v>2022</v>
      </c>
      <c r="C193" t="s">
        <v>173</v>
      </c>
      <c r="D193" t="s">
        <v>177</v>
      </c>
      <c r="E193" t="s">
        <v>13</v>
      </c>
      <c r="F193">
        <v>140000</v>
      </c>
      <c r="G193" t="s">
        <v>19</v>
      </c>
      <c r="H193">
        <v>140000</v>
      </c>
      <c r="I193" t="s">
        <v>29</v>
      </c>
      <c r="J193">
        <v>100</v>
      </c>
      <c r="K193" t="s">
        <v>29</v>
      </c>
      <c r="L193" t="s">
        <v>170</v>
      </c>
    </row>
    <row r="194" spans="1:12">
      <c r="A194">
        <v>575</v>
      </c>
      <c r="B194">
        <v>2022</v>
      </c>
      <c r="C194" t="s">
        <v>173</v>
      </c>
      <c r="D194" t="s">
        <v>177</v>
      </c>
      <c r="E194" t="s">
        <v>13</v>
      </c>
      <c r="F194">
        <v>140000</v>
      </c>
      <c r="G194" t="s">
        <v>19</v>
      </c>
      <c r="H194">
        <v>140000</v>
      </c>
      <c r="I194" t="s">
        <v>29</v>
      </c>
      <c r="J194">
        <v>100</v>
      </c>
      <c r="K194" t="s">
        <v>29</v>
      </c>
      <c r="L194" t="s">
        <v>170</v>
      </c>
    </row>
    <row r="195" spans="1:12">
      <c r="A195">
        <v>587</v>
      </c>
      <c r="B195">
        <v>2022</v>
      </c>
      <c r="C195" t="s">
        <v>173</v>
      </c>
      <c r="D195" t="s">
        <v>177</v>
      </c>
      <c r="E195" t="s">
        <v>13</v>
      </c>
      <c r="F195">
        <v>140000</v>
      </c>
      <c r="G195" t="s">
        <v>19</v>
      </c>
      <c r="H195">
        <v>140000</v>
      </c>
      <c r="I195" t="s">
        <v>29</v>
      </c>
      <c r="J195">
        <v>100</v>
      </c>
      <c r="K195" t="s">
        <v>29</v>
      </c>
      <c r="L195" t="s">
        <v>170</v>
      </c>
    </row>
    <row r="196" spans="1:12">
      <c r="A196">
        <v>81</v>
      </c>
      <c r="B196">
        <v>2021</v>
      </c>
      <c r="C196" t="s">
        <v>164</v>
      </c>
      <c r="D196" t="s">
        <v>177</v>
      </c>
      <c r="E196" t="s">
        <v>43</v>
      </c>
      <c r="F196">
        <v>140000</v>
      </c>
      <c r="G196" t="s">
        <v>19</v>
      </c>
      <c r="H196">
        <v>140000</v>
      </c>
      <c r="I196" t="s">
        <v>29</v>
      </c>
      <c r="J196">
        <v>100</v>
      </c>
      <c r="K196" t="s">
        <v>29</v>
      </c>
      <c r="L196" t="s">
        <v>171</v>
      </c>
    </row>
    <row r="197" spans="1:12">
      <c r="A197">
        <v>563</v>
      </c>
      <c r="B197">
        <v>2022</v>
      </c>
      <c r="C197" t="s">
        <v>173</v>
      </c>
      <c r="D197" t="s">
        <v>177</v>
      </c>
      <c r="E197" t="s">
        <v>43</v>
      </c>
      <c r="F197">
        <v>140250</v>
      </c>
      <c r="G197" t="s">
        <v>19</v>
      </c>
      <c r="H197">
        <v>140250</v>
      </c>
      <c r="I197" t="s">
        <v>29</v>
      </c>
      <c r="J197">
        <v>100</v>
      </c>
      <c r="K197" t="s">
        <v>29</v>
      </c>
      <c r="L197" t="s">
        <v>170</v>
      </c>
    </row>
    <row r="198" spans="1:12">
      <c r="A198">
        <v>428</v>
      </c>
      <c r="B198">
        <v>2022</v>
      </c>
      <c r="C198" t="s">
        <v>173</v>
      </c>
      <c r="D198" t="s">
        <v>177</v>
      </c>
      <c r="E198" t="s">
        <v>13</v>
      </c>
      <c r="F198">
        <v>140400</v>
      </c>
      <c r="G198" t="s">
        <v>19</v>
      </c>
      <c r="H198">
        <v>140400</v>
      </c>
      <c r="I198" t="s">
        <v>29</v>
      </c>
      <c r="J198">
        <v>0</v>
      </c>
      <c r="K198" t="s">
        <v>29</v>
      </c>
      <c r="L198" t="s">
        <v>171</v>
      </c>
    </row>
    <row r="199" spans="1:12">
      <c r="A199">
        <v>551</v>
      </c>
      <c r="B199">
        <v>2022</v>
      </c>
      <c r="C199" t="s">
        <v>173</v>
      </c>
      <c r="D199" t="s">
        <v>177</v>
      </c>
      <c r="E199" t="s">
        <v>13</v>
      </c>
      <c r="F199">
        <v>140400</v>
      </c>
      <c r="G199" t="s">
        <v>19</v>
      </c>
      <c r="H199">
        <v>140400</v>
      </c>
      <c r="I199" t="s">
        <v>29</v>
      </c>
      <c r="J199">
        <v>0</v>
      </c>
      <c r="K199" t="s">
        <v>29</v>
      </c>
      <c r="L199" t="s">
        <v>171</v>
      </c>
    </row>
    <row r="200" spans="1:12">
      <c r="A200">
        <v>559</v>
      </c>
      <c r="B200">
        <v>2022</v>
      </c>
      <c r="C200" t="s">
        <v>173</v>
      </c>
      <c r="D200" t="s">
        <v>177</v>
      </c>
      <c r="E200" t="s">
        <v>13</v>
      </c>
      <c r="F200">
        <v>140400</v>
      </c>
      <c r="G200" t="s">
        <v>19</v>
      </c>
      <c r="H200">
        <v>140400</v>
      </c>
      <c r="I200" t="s">
        <v>29</v>
      </c>
      <c r="J200">
        <v>0</v>
      </c>
      <c r="K200" t="s">
        <v>29</v>
      </c>
      <c r="L200" t="s">
        <v>170</v>
      </c>
    </row>
    <row r="201" spans="1:12">
      <c r="A201">
        <v>538</v>
      </c>
      <c r="B201">
        <v>2022</v>
      </c>
      <c r="C201" t="s">
        <v>164</v>
      </c>
      <c r="D201" t="s">
        <v>177</v>
      </c>
      <c r="E201" t="s">
        <v>13</v>
      </c>
      <c r="F201">
        <v>141300</v>
      </c>
      <c r="G201" t="s">
        <v>19</v>
      </c>
      <c r="H201">
        <v>141300</v>
      </c>
      <c r="I201" t="s">
        <v>29</v>
      </c>
      <c r="J201">
        <v>0</v>
      </c>
      <c r="K201" t="s">
        <v>29</v>
      </c>
      <c r="L201" t="s">
        <v>170</v>
      </c>
    </row>
    <row r="202" spans="1:12">
      <c r="A202">
        <v>154</v>
      </c>
      <c r="B202">
        <v>2021</v>
      </c>
      <c r="C202" t="s">
        <v>173</v>
      </c>
      <c r="D202" t="s">
        <v>177</v>
      </c>
      <c r="E202" t="s">
        <v>79</v>
      </c>
      <c r="F202">
        <v>144000</v>
      </c>
      <c r="G202" t="s">
        <v>19</v>
      </c>
      <c r="H202">
        <v>144000</v>
      </c>
      <c r="I202" t="s">
        <v>29</v>
      </c>
      <c r="J202">
        <v>100</v>
      </c>
      <c r="K202" t="s">
        <v>29</v>
      </c>
      <c r="L202" t="s">
        <v>171</v>
      </c>
    </row>
    <row r="203" spans="1:12">
      <c r="A203">
        <v>466</v>
      </c>
      <c r="B203">
        <v>2022</v>
      </c>
      <c r="C203" t="s">
        <v>173</v>
      </c>
      <c r="D203" t="s">
        <v>177</v>
      </c>
      <c r="E203" t="s">
        <v>55</v>
      </c>
      <c r="F203">
        <v>144000</v>
      </c>
      <c r="G203" t="s">
        <v>19</v>
      </c>
      <c r="H203">
        <v>144000</v>
      </c>
      <c r="I203" t="s">
        <v>29</v>
      </c>
      <c r="J203">
        <v>50</v>
      </c>
      <c r="K203" t="s">
        <v>29</v>
      </c>
      <c r="L203" t="s">
        <v>171</v>
      </c>
    </row>
    <row r="204" spans="1:12">
      <c r="A204">
        <v>553</v>
      </c>
      <c r="B204">
        <v>2022</v>
      </c>
      <c r="C204" t="s">
        <v>173</v>
      </c>
      <c r="D204" t="s">
        <v>177</v>
      </c>
      <c r="E204" t="s">
        <v>13</v>
      </c>
      <c r="F204">
        <v>144000</v>
      </c>
      <c r="G204" t="s">
        <v>19</v>
      </c>
      <c r="H204">
        <v>144000</v>
      </c>
      <c r="I204" t="s">
        <v>29</v>
      </c>
      <c r="J204">
        <v>100</v>
      </c>
      <c r="K204" t="s">
        <v>29</v>
      </c>
      <c r="L204" t="s">
        <v>170</v>
      </c>
    </row>
    <row r="205" spans="1:12">
      <c r="A205">
        <v>591</v>
      </c>
      <c r="B205">
        <v>2022</v>
      </c>
      <c r="C205" t="s">
        <v>173</v>
      </c>
      <c r="D205" t="s">
        <v>177</v>
      </c>
      <c r="E205" t="s">
        <v>109</v>
      </c>
      <c r="F205">
        <v>144854</v>
      </c>
      <c r="G205" t="s">
        <v>19</v>
      </c>
      <c r="H205">
        <v>144854</v>
      </c>
      <c r="I205" t="s">
        <v>29</v>
      </c>
      <c r="J205">
        <v>100</v>
      </c>
      <c r="K205" t="s">
        <v>29</v>
      </c>
      <c r="L205" t="s">
        <v>170</v>
      </c>
    </row>
    <row r="206" spans="1:12">
      <c r="A206">
        <v>394</v>
      </c>
      <c r="B206">
        <v>2022</v>
      </c>
      <c r="C206" t="s">
        <v>173</v>
      </c>
      <c r="D206" t="s">
        <v>177</v>
      </c>
      <c r="E206" t="s">
        <v>105</v>
      </c>
      <c r="F206">
        <v>145000</v>
      </c>
      <c r="G206" t="s">
        <v>19</v>
      </c>
      <c r="H206">
        <v>145000</v>
      </c>
      <c r="I206" t="s">
        <v>29</v>
      </c>
      <c r="J206">
        <v>100</v>
      </c>
      <c r="K206" t="s">
        <v>29</v>
      </c>
      <c r="L206" t="s">
        <v>170</v>
      </c>
    </row>
    <row r="207" spans="1:12">
      <c r="A207">
        <v>556</v>
      </c>
      <c r="B207">
        <v>2022</v>
      </c>
      <c r="C207" t="s">
        <v>173</v>
      </c>
      <c r="D207" t="s">
        <v>177</v>
      </c>
      <c r="E207" t="s">
        <v>43</v>
      </c>
      <c r="F207">
        <v>145000</v>
      </c>
      <c r="G207" t="s">
        <v>19</v>
      </c>
      <c r="H207">
        <v>145000</v>
      </c>
      <c r="I207" t="s">
        <v>29</v>
      </c>
      <c r="J207">
        <v>100</v>
      </c>
      <c r="K207" t="s">
        <v>29</v>
      </c>
      <c r="L207" t="s">
        <v>170</v>
      </c>
    </row>
    <row r="208" spans="1:12">
      <c r="A208">
        <v>302</v>
      </c>
      <c r="B208">
        <v>2022</v>
      </c>
      <c r="C208" t="s">
        <v>173</v>
      </c>
      <c r="D208" t="s">
        <v>177</v>
      </c>
      <c r="E208" t="s">
        <v>13</v>
      </c>
      <c r="F208">
        <v>146000</v>
      </c>
      <c r="G208" t="s">
        <v>19</v>
      </c>
      <c r="H208">
        <v>146000</v>
      </c>
      <c r="I208" t="s">
        <v>29</v>
      </c>
      <c r="J208">
        <v>100</v>
      </c>
      <c r="K208" t="s">
        <v>29</v>
      </c>
      <c r="L208" t="s">
        <v>170</v>
      </c>
    </row>
    <row r="209" spans="1:12">
      <c r="A209">
        <v>195</v>
      </c>
      <c r="B209">
        <v>2021</v>
      </c>
      <c r="C209" t="s">
        <v>164</v>
      </c>
      <c r="D209" t="s">
        <v>177</v>
      </c>
      <c r="E209" t="s">
        <v>13</v>
      </c>
      <c r="F209">
        <v>147000</v>
      </c>
      <c r="G209" t="s">
        <v>19</v>
      </c>
      <c r="H209">
        <v>147000</v>
      </c>
      <c r="I209" t="s">
        <v>29</v>
      </c>
      <c r="J209">
        <v>50</v>
      </c>
      <c r="K209" t="s">
        <v>29</v>
      </c>
      <c r="L209" t="s">
        <v>171</v>
      </c>
    </row>
    <row r="210" spans="1:12">
      <c r="A210">
        <v>379</v>
      </c>
      <c r="B210">
        <v>2022</v>
      </c>
      <c r="C210" t="s">
        <v>173</v>
      </c>
      <c r="D210" t="s">
        <v>177</v>
      </c>
      <c r="E210" t="s">
        <v>109</v>
      </c>
      <c r="F210">
        <v>147800</v>
      </c>
      <c r="G210" t="s">
        <v>19</v>
      </c>
      <c r="H210">
        <v>147800</v>
      </c>
      <c r="I210" t="s">
        <v>29</v>
      </c>
      <c r="J210">
        <v>100</v>
      </c>
      <c r="K210" t="s">
        <v>29</v>
      </c>
      <c r="L210" t="s">
        <v>170</v>
      </c>
    </row>
    <row r="211" spans="1:12">
      <c r="A211">
        <v>4</v>
      </c>
      <c r="B211">
        <v>2020</v>
      </c>
      <c r="C211" t="s">
        <v>173</v>
      </c>
      <c r="D211" t="s">
        <v>177</v>
      </c>
      <c r="E211" t="s">
        <v>28</v>
      </c>
      <c r="F211">
        <v>150000</v>
      </c>
      <c r="G211" t="s">
        <v>19</v>
      </c>
      <c r="H211">
        <v>150000</v>
      </c>
      <c r="I211" t="s">
        <v>29</v>
      </c>
      <c r="J211">
        <v>50</v>
      </c>
      <c r="K211" t="s">
        <v>29</v>
      </c>
      <c r="L211" t="s">
        <v>171</v>
      </c>
    </row>
    <row r="212" spans="1:12">
      <c r="A212">
        <v>101</v>
      </c>
      <c r="B212">
        <v>2021</v>
      </c>
      <c r="C212" t="s">
        <v>173</v>
      </c>
      <c r="D212" t="s">
        <v>177</v>
      </c>
      <c r="E212" t="s">
        <v>43</v>
      </c>
      <c r="F212">
        <v>150000</v>
      </c>
      <c r="G212" t="s">
        <v>19</v>
      </c>
      <c r="H212">
        <v>150000</v>
      </c>
      <c r="I212" t="s">
        <v>29</v>
      </c>
      <c r="J212">
        <v>100</v>
      </c>
      <c r="K212" t="s">
        <v>29</v>
      </c>
      <c r="L212" t="s">
        <v>171</v>
      </c>
    </row>
    <row r="213" spans="1:12">
      <c r="A213">
        <v>108</v>
      </c>
      <c r="B213">
        <v>2021</v>
      </c>
      <c r="C213" t="s">
        <v>173</v>
      </c>
      <c r="D213" t="s">
        <v>177</v>
      </c>
      <c r="E213" t="s">
        <v>43</v>
      </c>
      <c r="F213">
        <v>150000</v>
      </c>
      <c r="G213" t="s">
        <v>19</v>
      </c>
      <c r="H213">
        <v>150000</v>
      </c>
      <c r="I213" t="s">
        <v>29</v>
      </c>
      <c r="J213">
        <v>100</v>
      </c>
      <c r="K213" t="s">
        <v>29</v>
      </c>
      <c r="L213" t="s">
        <v>170</v>
      </c>
    </row>
    <row r="214" spans="1:12">
      <c r="A214">
        <v>142</v>
      </c>
      <c r="B214">
        <v>2021</v>
      </c>
      <c r="C214" t="s">
        <v>173</v>
      </c>
      <c r="D214" t="s">
        <v>177</v>
      </c>
      <c r="E214" t="s">
        <v>63</v>
      </c>
      <c r="F214">
        <v>150000</v>
      </c>
      <c r="G214" t="s">
        <v>19</v>
      </c>
      <c r="H214">
        <v>150000</v>
      </c>
      <c r="I214" t="s">
        <v>29</v>
      </c>
      <c r="J214">
        <v>0</v>
      </c>
      <c r="K214" t="s">
        <v>29</v>
      </c>
      <c r="L214" t="s">
        <v>171</v>
      </c>
    </row>
    <row r="215" spans="1:12">
      <c r="A215">
        <v>73</v>
      </c>
      <c r="B215">
        <v>2021</v>
      </c>
      <c r="C215" t="s">
        <v>165</v>
      </c>
      <c r="D215" t="s">
        <v>177</v>
      </c>
      <c r="E215" t="s">
        <v>51</v>
      </c>
      <c r="F215">
        <v>150000</v>
      </c>
      <c r="G215" t="s">
        <v>19</v>
      </c>
      <c r="H215">
        <v>150000</v>
      </c>
      <c r="I215" t="s">
        <v>40</v>
      </c>
      <c r="J215">
        <v>100</v>
      </c>
      <c r="K215" t="s">
        <v>29</v>
      </c>
      <c r="L215" t="s">
        <v>171</v>
      </c>
    </row>
    <row r="216" spans="1:12">
      <c r="A216">
        <v>356</v>
      </c>
      <c r="B216">
        <v>2022</v>
      </c>
      <c r="C216" t="s">
        <v>173</v>
      </c>
      <c r="D216" t="s">
        <v>177</v>
      </c>
      <c r="E216" t="s">
        <v>13</v>
      </c>
      <c r="F216">
        <v>150000</v>
      </c>
      <c r="G216" t="s">
        <v>19</v>
      </c>
      <c r="H216">
        <v>150000</v>
      </c>
      <c r="I216" t="s">
        <v>29</v>
      </c>
      <c r="J216">
        <v>0</v>
      </c>
      <c r="K216" t="s">
        <v>29</v>
      </c>
      <c r="L216" t="s">
        <v>170</v>
      </c>
    </row>
    <row r="217" spans="1:12">
      <c r="A217">
        <v>593</v>
      </c>
      <c r="B217">
        <v>2022</v>
      </c>
      <c r="C217" t="s">
        <v>173</v>
      </c>
      <c r="D217" t="s">
        <v>177</v>
      </c>
      <c r="E217" t="s">
        <v>13</v>
      </c>
      <c r="F217">
        <v>150000</v>
      </c>
      <c r="G217" t="s">
        <v>19</v>
      </c>
      <c r="H217">
        <v>150000</v>
      </c>
      <c r="I217" t="s">
        <v>29</v>
      </c>
      <c r="J217">
        <v>100</v>
      </c>
      <c r="K217" t="s">
        <v>29</v>
      </c>
      <c r="L217" t="s">
        <v>170</v>
      </c>
    </row>
    <row r="218" spans="1:12">
      <c r="A218">
        <v>605</v>
      </c>
      <c r="B218">
        <v>2022</v>
      </c>
      <c r="C218" t="s">
        <v>173</v>
      </c>
      <c r="D218" t="s">
        <v>177</v>
      </c>
      <c r="E218" t="s">
        <v>31</v>
      </c>
      <c r="F218">
        <v>150000</v>
      </c>
      <c r="G218" t="s">
        <v>19</v>
      </c>
      <c r="H218">
        <v>150000</v>
      </c>
      <c r="I218" t="s">
        <v>29</v>
      </c>
      <c r="J218">
        <v>100</v>
      </c>
      <c r="K218" t="s">
        <v>29</v>
      </c>
      <c r="L218" t="s">
        <v>170</v>
      </c>
    </row>
    <row r="219" spans="1:12">
      <c r="A219">
        <v>151</v>
      </c>
      <c r="B219">
        <v>2021</v>
      </c>
      <c r="C219" t="s">
        <v>164</v>
      </c>
      <c r="D219" t="s">
        <v>177</v>
      </c>
      <c r="E219" t="s">
        <v>13</v>
      </c>
      <c r="F219">
        <v>150000</v>
      </c>
      <c r="G219" t="s">
        <v>19</v>
      </c>
      <c r="H219">
        <v>150000</v>
      </c>
      <c r="I219" t="s">
        <v>29</v>
      </c>
      <c r="J219">
        <v>100</v>
      </c>
      <c r="K219" t="s">
        <v>29</v>
      </c>
      <c r="L219" t="s">
        <v>170</v>
      </c>
    </row>
    <row r="220" spans="1:12">
      <c r="A220">
        <v>169</v>
      </c>
      <c r="B220">
        <v>2021</v>
      </c>
      <c r="C220" t="s">
        <v>164</v>
      </c>
      <c r="D220" t="s">
        <v>177</v>
      </c>
      <c r="E220" t="s">
        <v>109</v>
      </c>
      <c r="F220">
        <v>150000</v>
      </c>
      <c r="G220" t="s">
        <v>19</v>
      </c>
      <c r="H220">
        <v>150000</v>
      </c>
      <c r="I220" t="s">
        <v>29</v>
      </c>
      <c r="J220">
        <v>100</v>
      </c>
      <c r="K220" t="s">
        <v>29</v>
      </c>
      <c r="L220" t="s">
        <v>171</v>
      </c>
    </row>
    <row r="221" spans="1:12">
      <c r="A221">
        <v>295</v>
      </c>
      <c r="B221">
        <v>2022</v>
      </c>
      <c r="C221" t="s">
        <v>164</v>
      </c>
      <c r="D221" t="s">
        <v>177</v>
      </c>
      <c r="E221" t="s">
        <v>43</v>
      </c>
      <c r="F221">
        <v>150000</v>
      </c>
      <c r="G221" t="s">
        <v>19</v>
      </c>
      <c r="H221">
        <v>150000</v>
      </c>
      <c r="I221" t="s">
        <v>29</v>
      </c>
      <c r="J221">
        <v>100</v>
      </c>
      <c r="K221" t="s">
        <v>29</v>
      </c>
      <c r="L221" t="s">
        <v>170</v>
      </c>
    </row>
    <row r="222" spans="1:12">
      <c r="A222">
        <v>577</v>
      </c>
      <c r="B222">
        <v>2022</v>
      </c>
      <c r="C222" t="s">
        <v>173</v>
      </c>
      <c r="D222" t="s">
        <v>177</v>
      </c>
      <c r="E222" t="s">
        <v>31</v>
      </c>
      <c r="F222">
        <v>150075</v>
      </c>
      <c r="G222" t="s">
        <v>19</v>
      </c>
      <c r="H222">
        <v>150075</v>
      </c>
      <c r="I222" t="s">
        <v>29</v>
      </c>
      <c r="J222">
        <v>100</v>
      </c>
      <c r="K222" t="s">
        <v>29</v>
      </c>
      <c r="L222" t="s">
        <v>170</v>
      </c>
    </row>
    <row r="223" spans="1:12">
      <c r="A223">
        <v>594</v>
      </c>
      <c r="B223">
        <v>2022</v>
      </c>
      <c r="C223" t="s">
        <v>173</v>
      </c>
      <c r="D223" t="s">
        <v>177</v>
      </c>
      <c r="E223" t="s">
        <v>105</v>
      </c>
      <c r="F223">
        <v>150260</v>
      </c>
      <c r="G223" t="s">
        <v>19</v>
      </c>
      <c r="H223">
        <v>150260</v>
      </c>
      <c r="I223" t="s">
        <v>29</v>
      </c>
      <c r="J223">
        <v>100</v>
      </c>
      <c r="K223" t="s">
        <v>29</v>
      </c>
      <c r="L223" t="s">
        <v>170</v>
      </c>
    </row>
    <row r="224" spans="1:12">
      <c r="A224">
        <v>125</v>
      </c>
      <c r="B224">
        <v>2021</v>
      </c>
      <c r="C224" t="s">
        <v>164</v>
      </c>
      <c r="D224" t="s">
        <v>177</v>
      </c>
      <c r="E224" t="s">
        <v>76</v>
      </c>
      <c r="F224">
        <v>151000</v>
      </c>
      <c r="G224" t="s">
        <v>19</v>
      </c>
      <c r="H224">
        <v>151000</v>
      </c>
      <c r="I224" t="s">
        <v>29</v>
      </c>
      <c r="J224">
        <v>100</v>
      </c>
      <c r="K224" t="s">
        <v>29</v>
      </c>
      <c r="L224" t="s">
        <v>171</v>
      </c>
    </row>
    <row r="225" spans="1:12">
      <c r="A225">
        <v>516</v>
      </c>
      <c r="B225">
        <v>2022</v>
      </c>
      <c r="C225" t="s">
        <v>173</v>
      </c>
      <c r="D225" t="s">
        <v>177</v>
      </c>
      <c r="E225" t="s">
        <v>79</v>
      </c>
      <c r="F225">
        <v>152500</v>
      </c>
      <c r="G225" t="s">
        <v>19</v>
      </c>
      <c r="H225">
        <v>152500</v>
      </c>
      <c r="I225" t="s">
        <v>29</v>
      </c>
      <c r="J225">
        <v>100</v>
      </c>
      <c r="K225" t="s">
        <v>29</v>
      </c>
      <c r="L225" t="s">
        <v>170</v>
      </c>
    </row>
    <row r="226" spans="1:12">
      <c r="A226">
        <v>148</v>
      </c>
      <c r="B226">
        <v>2021</v>
      </c>
      <c r="C226" t="s">
        <v>173</v>
      </c>
      <c r="D226" t="s">
        <v>177</v>
      </c>
      <c r="E226" t="s">
        <v>63</v>
      </c>
      <c r="F226">
        <v>153000</v>
      </c>
      <c r="G226" t="s">
        <v>19</v>
      </c>
      <c r="H226">
        <v>153000</v>
      </c>
      <c r="I226" t="s">
        <v>29</v>
      </c>
      <c r="J226">
        <v>100</v>
      </c>
      <c r="K226" t="s">
        <v>29</v>
      </c>
      <c r="L226" t="s">
        <v>171</v>
      </c>
    </row>
    <row r="227" spans="1:12">
      <c r="A227">
        <v>495</v>
      </c>
      <c r="B227">
        <v>2022</v>
      </c>
      <c r="C227" t="s">
        <v>164</v>
      </c>
      <c r="D227" t="s">
        <v>177</v>
      </c>
      <c r="E227" t="s">
        <v>18</v>
      </c>
      <c r="F227">
        <v>153000</v>
      </c>
      <c r="G227" t="s">
        <v>19</v>
      </c>
      <c r="H227">
        <v>153000</v>
      </c>
      <c r="I227" t="s">
        <v>29</v>
      </c>
      <c r="J227">
        <v>50</v>
      </c>
      <c r="K227" t="s">
        <v>29</v>
      </c>
      <c r="L227" t="s">
        <v>170</v>
      </c>
    </row>
    <row r="228" spans="1:12">
      <c r="A228">
        <v>602</v>
      </c>
      <c r="B228">
        <v>2022</v>
      </c>
      <c r="C228" t="s">
        <v>173</v>
      </c>
      <c r="D228" t="s">
        <v>177</v>
      </c>
      <c r="E228" t="s">
        <v>43</v>
      </c>
      <c r="F228">
        <v>154000</v>
      </c>
      <c r="G228" t="s">
        <v>19</v>
      </c>
      <c r="H228">
        <v>154000</v>
      </c>
      <c r="I228" t="s">
        <v>29</v>
      </c>
      <c r="J228">
        <v>100</v>
      </c>
      <c r="K228" t="s">
        <v>29</v>
      </c>
      <c r="L228" t="s">
        <v>170</v>
      </c>
    </row>
    <row r="229" spans="1:12">
      <c r="A229">
        <v>401</v>
      </c>
      <c r="B229">
        <v>2022</v>
      </c>
      <c r="C229" t="s">
        <v>173</v>
      </c>
      <c r="D229" t="s">
        <v>177</v>
      </c>
      <c r="E229" t="s">
        <v>43</v>
      </c>
      <c r="F229">
        <v>154600</v>
      </c>
      <c r="G229" t="s">
        <v>19</v>
      </c>
      <c r="H229">
        <v>154600</v>
      </c>
      <c r="I229" t="s">
        <v>29</v>
      </c>
      <c r="J229">
        <v>100</v>
      </c>
      <c r="K229" t="s">
        <v>29</v>
      </c>
      <c r="L229" t="s">
        <v>171</v>
      </c>
    </row>
    <row r="230" spans="1:12">
      <c r="A230">
        <v>447</v>
      </c>
      <c r="B230">
        <v>2022</v>
      </c>
      <c r="C230" t="s">
        <v>173</v>
      </c>
      <c r="D230" t="s">
        <v>177</v>
      </c>
      <c r="E230" t="s">
        <v>43</v>
      </c>
      <c r="F230">
        <v>154600</v>
      </c>
      <c r="G230" t="s">
        <v>19</v>
      </c>
      <c r="H230">
        <v>154600</v>
      </c>
      <c r="I230" t="s">
        <v>29</v>
      </c>
      <c r="J230">
        <v>100</v>
      </c>
      <c r="K230" t="s">
        <v>29</v>
      </c>
      <c r="L230" t="s">
        <v>171</v>
      </c>
    </row>
    <row r="231" spans="1:12">
      <c r="A231">
        <v>290</v>
      </c>
      <c r="B231">
        <v>2022</v>
      </c>
      <c r="C231" t="s">
        <v>173</v>
      </c>
      <c r="D231" t="s">
        <v>177</v>
      </c>
      <c r="E231" t="s">
        <v>31</v>
      </c>
      <c r="F231">
        <v>155000</v>
      </c>
      <c r="G231" t="s">
        <v>19</v>
      </c>
      <c r="H231">
        <v>155000</v>
      </c>
      <c r="I231" t="s">
        <v>29</v>
      </c>
      <c r="J231">
        <v>100</v>
      </c>
      <c r="K231" t="s">
        <v>29</v>
      </c>
      <c r="L231" t="s">
        <v>170</v>
      </c>
    </row>
    <row r="232" spans="1:12">
      <c r="A232">
        <v>388</v>
      </c>
      <c r="B232">
        <v>2022</v>
      </c>
      <c r="C232" t="s">
        <v>173</v>
      </c>
      <c r="D232" t="s">
        <v>177</v>
      </c>
      <c r="E232" t="s">
        <v>43</v>
      </c>
      <c r="F232">
        <v>155000</v>
      </c>
      <c r="G232" t="s">
        <v>19</v>
      </c>
      <c r="H232">
        <v>155000</v>
      </c>
      <c r="I232" t="s">
        <v>29</v>
      </c>
      <c r="J232">
        <v>100</v>
      </c>
      <c r="K232" t="s">
        <v>29</v>
      </c>
      <c r="L232" t="s">
        <v>170</v>
      </c>
    </row>
    <row r="233" spans="1:12">
      <c r="A233">
        <v>537</v>
      </c>
      <c r="B233">
        <v>2022</v>
      </c>
      <c r="C233" t="s">
        <v>173</v>
      </c>
      <c r="D233" t="s">
        <v>177</v>
      </c>
      <c r="E233" t="s">
        <v>43</v>
      </c>
      <c r="F233">
        <v>155000</v>
      </c>
      <c r="G233" t="s">
        <v>19</v>
      </c>
      <c r="H233">
        <v>155000</v>
      </c>
      <c r="I233" t="s">
        <v>29</v>
      </c>
      <c r="J233">
        <v>100</v>
      </c>
      <c r="K233" t="s">
        <v>29</v>
      </c>
      <c r="L233" t="s">
        <v>170</v>
      </c>
    </row>
    <row r="234" spans="1:12">
      <c r="A234">
        <v>345</v>
      </c>
      <c r="B234">
        <v>2022</v>
      </c>
      <c r="C234" t="s">
        <v>173</v>
      </c>
      <c r="D234" t="s">
        <v>177</v>
      </c>
      <c r="E234" t="s">
        <v>43</v>
      </c>
      <c r="F234">
        <v>156600</v>
      </c>
      <c r="G234" t="s">
        <v>19</v>
      </c>
      <c r="H234">
        <v>156600</v>
      </c>
      <c r="I234" t="s">
        <v>29</v>
      </c>
      <c r="J234">
        <v>100</v>
      </c>
      <c r="K234" t="s">
        <v>29</v>
      </c>
      <c r="L234" t="s">
        <v>170</v>
      </c>
    </row>
    <row r="235" spans="1:12">
      <c r="A235">
        <v>509</v>
      </c>
      <c r="B235">
        <v>2022</v>
      </c>
      <c r="C235" t="s">
        <v>164</v>
      </c>
      <c r="D235" t="s">
        <v>177</v>
      </c>
      <c r="E235" t="s">
        <v>84</v>
      </c>
      <c r="F235">
        <v>157000</v>
      </c>
      <c r="G235" t="s">
        <v>19</v>
      </c>
      <c r="H235">
        <v>157000</v>
      </c>
      <c r="I235" t="s">
        <v>29</v>
      </c>
      <c r="J235">
        <v>100</v>
      </c>
      <c r="K235" t="s">
        <v>29</v>
      </c>
      <c r="L235" t="s">
        <v>171</v>
      </c>
    </row>
    <row r="236" spans="1:12">
      <c r="A236">
        <v>399</v>
      </c>
      <c r="B236">
        <v>2022</v>
      </c>
      <c r="C236" t="s">
        <v>173</v>
      </c>
      <c r="D236" t="s">
        <v>177</v>
      </c>
      <c r="E236" t="s">
        <v>13</v>
      </c>
      <c r="F236">
        <v>158200</v>
      </c>
      <c r="G236" t="s">
        <v>19</v>
      </c>
      <c r="H236">
        <v>158200</v>
      </c>
      <c r="I236" t="s">
        <v>29</v>
      </c>
      <c r="J236">
        <v>100</v>
      </c>
      <c r="K236" t="s">
        <v>29</v>
      </c>
      <c r="L236" t="s">
        <v>171</v>
      </c>
    </row>
    <row r="237" spans="1:12">
      <c r="A237">
        <v>422</v>
      </c>
      <c r="B237">
        <v>2022</v>
      </c>
      <c r="C237" t="s">
        <v>164</v>
      </c>
      <c r="D237" t="s">
        <v>177</v>
      </c>
      <c r="E237" t="s">
        <v>79</v>
      </c>
      <c r="F237">
        <v>159000</v>
      </c>
      <c r="G237" t="s">
        <v>19</v>
      </c>
      <c r="H237">
        <v>159000</v>
      </c>
      <c r="I237" t="s">
        <v>29</v>
      </c>
      <c r="J237">
        <v>100</v>
      </c>
      <c r="K237" t="s">
        <v>29</v>
      </c>
      <c r="L237" t="s">
        <v>170</v>
      </c>
    </row>
    <row r="238" spans="1:12">
      <c r="A238">
        <v>149</v>
      </c>
      <c r="B238">
        <v>2021</v>
      </c>
      <c r="C238" t="s">
        <v>173</v>
      </c>
      <c r="D238" t="s">
        <v>177</v>
      </c>
      <c r="E238" t="s">
        <v>88</v>
      </c>
      <c r="F238">
        <v>160000</v>
      </c>
      <c r="G238" t="s">
        <v>19</v>
      </c>
      <c r="H238">
        <v>160000</v>
      </c>
      <c r="I238" t="s">
        <v>91</v>
      </c>
      <c r="J238">
        <v>100</v>
      </c>
      <c r="K238" t="s">
        <v>29</v>
      </c>
      <c r="L238" t="s">
        <v>169</v>
      </c>
    </row>
    <row r="239" spans="1:12">
      <c r="A239">
        <v>265</v>
      </c>
      <c r="B239">
        <v>2021</v>
      </c>
      <c r="C239" t="s">
        <v>173</v>
      </c>
      <c r="D239" t="s">
        <v>177</v>
      </c>
      <c r="E239" t="s">
        <v>36</v>
      </c>
      <c r="F239">
        <v>160000</v>
      </c>
      <c r="G239" t="s">
        <v>19</v>
      </c>
      <c r="H239">
        <v>160000</v>
      </c>
      <c r="I239" t="s">
        <v>127</v>
      </c>
      <c r="J239">
        <v>50</v>
      </c>
      <c r="K239" t="s">
        <v>29</v>
      </c>
      <c r="L239" t="s">
        <v>169</v>
      </c>
    </row>
    <row r="240" spans="1:12">
      <c r="A240">
        <v>364</v>
      </c>
      <c r="B240">
        <v>2022</v>
      </c>
      <c r="C240" t="s">
        <v>173</v>
      </c>
      <c r="D240" t="s">
        <v>177</v>
      </c>
      <c r="E240" t="s">
        <v>43</v>
      </c>
      <c r="F240">
        <v>160000</v>
      </c>
      <c r="G240" t="s">
        <v>19</v>
      </c>
      <c r="H240">
        <v>160000</v>
      </c>
      <c r="I240" t="s">
        <v>29</v>
      </c>
      <c r="J240">
        <v>0</v>
      </c>
      <c r="K240" t="s">
        <v>29</v>
      </c>
      <c r="L240" t="s">
        <v>171</v>
      </c>
    </row>
    <row r="241" spans="1:12">
      <c r="A241">
        <v>549</v>
      </c>
      <c r="B241">
        <v>2022</v>
      </c>
      <c r="C241" t="s">
        <v>173</v>
      </c>
      <c r="D241" t="s">
        <v>177</v>
      </c>
      <c r="E241" t="s">
        <v>43</v>
      </c>
      <c r="F241">
        <v>160000</v>
      </c>
      <c r="G241" t="s">
        <v>19</v>
      </c>
      <c r="H241">
        <v>160000</v>
      </c>
      <c r="I241" t="s">
        <v>29</v>
      </c>
      <c r="J241">
        <v>100</v>
      </c>
      <c r="K241" t="s">
        <v>29</v>
      </c>
      <c r="L241" t="s">
        <v>170</v>
      </c>
    </row>
    <row r="242" spans="1:12">
      <c r="A242">
        <v>555</v>
      </c>
      <c r="B242">
        <v>2022</v>
      </c>
      <c r="C242" t="s">
        <v>173</v>
      </c>
      <c r="D242" t="s">
        <v>177</v>
      </c>
      <c r="E242" t="s">
        <v>43</v>
      </c>
      <c r="F242">
        <v>160000</v>
      </c>
      <c r="G242" t="s">
        <v>19</v>
      </c>
      <c r="H242">
        <v>160000</v>
      </c>
      <c r="I242" t="s">
        <v>29</v>
      </c>
      <c r="J242">
        <v>100</v>
      </c>
      <c r="K242" t="s">
        <v>29</v>
      </c>
      <c r="L242" t="s">
        <v>170</v>
      </c>
    </row>
    <row r="243" spans="1:12">
      <c r="A243">
        <v>204</v>
      </c>
      <c r="B243">
        <v>2021</v>
      </c>
      <c r="C243" t="s">
        <v>164</v>
      </c>
      <c r="D243" t="s">
        <v>177</v>
      </c>
      <c r="E243" t="s">
        <v>13</v>
      </c>
      <c r="F243">
        <v>160000</v>
      </c>
      <c r="G243" t="s">
        <v>19</v>
      </c>
      <c r="H243">
        <v>160000</v>
      </c>
      <c r="I243" t="s">
        <v>29</v>
      </c>
      <c r="J243">
        <v>100</v>
      </c>
      <c r="K243" t="s">
        <v>29</v>
      </c>
      <c r="L243" t="s">
        <v>171</v>
      </c>
    </row>
    <row r="244" spans="1:12">
      <c r="A244">
        <v>419</v>
      </c>
      <c r="B244">
        <v>2022</v>
      </c>
      <c r="C244" t="s">
        <v>164</v>
      </c>
      <c r="D244" t="s">
        <v>177</v>
      </c>
      <c r="E244" t="s">
        <v>18</v>
      </c>
      <c r="F244">
        <v>160000</v>
      </c>
      <c r="G244" t="s">
        <v>19</v>
      </c>
      <c r="H244">
        <v>160000</v>
      </c>
      <c r="I244" t="s">
        <v>29</v>
      </c>
      <c r="J244">
        <v>100</v>
      </c>
      <c r="K244" t="s">
        <v>29</v>
      </c>
      <c r="L244" t="s">
        <v>171</v>
      </c>
    </row>
    <row r="245" spans="1:12">
      <c r="A245">
        <v>598</v>
      </c>
      <c r="B245">
        <v>2022</v>
      </c>
      <c r="C245" t="s">
        <v>164</v>
      </c>
      <c r="D245" t="s">
        <v>177</v>
      </c>
      <c r="E245" t="s">
        <v>13</v>
      </c>
      <c r="F245">
        <v>160000</v>
      </c>
      <c r="G245" t="s">
        <v>19</v>
      </c>
      <c r="H245">
        <v>160000</v>
      </c>
      <c r="I245" t="s">
        <v>29</v>
      </c>
      <c r="J245">
        <v>100</v>
      </c>
      <c r="K245" t="s">
        <v>29</v>
      </c>
      <c r="L245" t="s">
        <v>170</v>
      </c>
    </row>
    <row r="246" spans="1:12">
      <c r="A246">
        <v>322</v>
      </c>
      <c r="B246">
        <v>2022</v>
      </c>
      <c r="C246" t="s">
        <v>173</v>
      </c>
      <c r="D246" t="s">
        <v>177</v>
      </c>
      <c r="E246" t="s">
        <v>43</v>
      </c>
      <c r="F246">
        <v>160080</v>
      </c>
      <c r="G246" t="s">
        <v>19</v>
      </c>
      <c r="H246">
        <v>160080</v>
      </c>
      <c r="I246" t="s">
        <v>29</v>
      </c>
      <c r="J246">
        <v>0</v>
      </c>
      <c r="K246" t="s">
        <v>29</v>
      </c>
      <c r="L246" t="s">
        <v>170</v>
      </c>
    </row>
    <row r="247" spans="1:12">
      <c r="A247">
        <v>583</v>
      </c>
      <c r="B247">
        <v>2022</v>
      </c>
      <c r="C247" t="s">
        <v>173</v>
      </c>
      <c r="D247" t="s">
        <v>177</v>
      </c>
      <c r="E247" t="s">
        <v>43</v>
      </c>
      <c r="F247">
        <v>160080</v>
      </c>
      <c r="G247" t="s">
        <v>19</v>
      </c>
      <c r="H247">
        <v>160080</v>
      </c>
      <c r="I247" t="s">
        <v>29</v>
      </c>
      <c r="J247">
        <v>100</v>
      </c>
      <c r="K247" t="s">
        <v>29</v>
      </c>
      <c r="L247" t="s">
        <v>170</v>
      </c>
    </row>
    <row r="248" spans="1:12">
      <c r="A248">
        <v>350</v>
      </c>
      <c r="B248">
        <v>2022</v>
      </c>
      <c r="C248" t="s">
        <v>173</v>
      </c>
      <c r="D248" t="s">
        <v>177</v>
      </c>
      <c r="E248" t="s">
        <v>79</v>
      </c>
      <c r="F248">
        <v>161342</v>
      </c>
      <c r="G248" t="s">
        <v>19</v>
      </c>
      <c r="H248">
        <v>161342</v>
      </c>
      <c r="I248" t="s">
        <v>29</v>
      </c>
      <c r="J248">
        <v>100</v>
      </c>
      <c r="K248" t="s">
        <v>29</v>
      </c>
      <c r="L248" t="s">
        <v>170</v>
      </c>
    </row>
    <row r="249" spans="1:12">
      <c r="A249">
        <v>387</v>
      </c>
      <c r="B249">
        <v>2022</v>
      </c>
      <c r="C249" t="s">
        <v>173</v>
      </c>
      <c r="D249" t="s">
        <v>177</v>
      </c>
      <c r="E249" t="s">
        <v>31</v>
      </c>
      <c r="F249">
        <v>164000</v>
      </c>
      <c r="G249" t="s">
        <v>19</v>
      </c>
      <c r="H249">
        <v>164000</v>
      </c>
      <c r="I249" t="s">
        <v>29</v>
      </c>
      <c r="J249">
        <v>0</v>
      </c>
      <c r="K249" t="s">
        <v>29</v>
      </c>
      <c r="L249" t="s">
        <v>170</v>
      </c>
    </row>
    <row r="250" spans="1:12">
      <c r="A250">
        <v>372</v>
      </c>
      <c r="B250">
        <v>2022</v>
      </c>
      <c r="C250" t="s">
        <v>173</v>
      </c>
      <c r="D250" t="s">
        <v>177</v>
      </c>
      <c r="E250" t="s">
        <v>28</v>
      </c>
      <c r="F250">
        <v>164996</v>
      </c>
      <c r="G250" t="s">
        <v>19</v>
      </c>
      <c r="H250">
        <v>164996</v>
      </c>
      <c r="I250" t="s">
        <v>29</v>
      </c>
      <c r="J250">
        <v>0</v>
      </c>
      <c r="K250" t="s">
        <v>29</v>
      </c>
      <c r="L250" t="s">
        <v>170</v>
      </c>
    </row>
    <row r="251" spans="1:12">
      <c r="A251">
        <v>439</v>
      </c>
      <c r="B251">
        <v>2022</v>
      </c>
      <c r="C251" t="s">
        <v>173</v>
      </c>
      <c r="D251" t="s">
        <v>177</v>
      </c>
      <c r="E251" t="s">
        <v>28</v>
      </c>
      <c r="F251">
        <v>164996</v>
      </c>
      <c r="G251" t="s">
        <v>19</v>
      </c>
      <c r="H251">
        <v>164996</v>
      </c>
      <c r="I251" t="s">
        <v>29</v>
      </c>
      <c r="J251">
        <v>0</v>
      </c>
      <c r="K251" t="s">
        <v>29</v>
      </c>
      <c r="L251" t="s">
        <v>170</v>
      </c>
    </row>
    <row r="252" spans="1:12">
      <c r="A252">
        <v>165</v>
      </c>
      <c r="B252">
        <v>2021</v>
      </c>
      <c r="C252" t="s">
        <v>173</v>
      </c>
      <c r="D252" t="s">
        <v>177</v>
      </c>
      <c r="E252" t="s">
        <v>108</v>
      </c>
      <c r="F252">
        <v>165000</v>
      </c>
      <c r="G252" t="s">
        <v>19</v>
      </c>
      <c r="H252">
        <v>165000</v>
      </c>
      <c r="I252" t="s">
        <v>29</v>
      </c>
      <c r="J252">
        <v>100</v>
      </c>
      <c r="K252" t="s">
        <v>29</v>
      </c>
      <c r="L252" t="s">
        <v>171</v>
      </c>
    </row>
    <row r="253" spans="1:12">
      <c r="A253">
        <v>207</v>
      </c>
      <c r="B253">
        <v>2021</v>
      </c>
      <c r="C253" t="s">
        <v>173</v>
      </c>
      <c r="D253" t="s">
        <v>177</v>
      </c>
      <c r="E253" t="s">
        <v>43</v>
      </c>
      <c r="F253">
        <v>165000</v>
      </c>
      <c r="G253" t="s">
        <v>19</v>
      </c>
      <c r="H253">
        <v>165000</v>
      </c>
      <c r="I253" t="s">
        <v>29</v>
      </c>
      <c r="J253">
        <v>0</v>
      </c>
      <c r="K253" t="s">
        <v>29</v>
      </c>
      <c r="L253" t="s">
        <v>170</v>
      </c>
    </row>
    <row r="254" spans="1:12">
      <c r="A254">
        <v>243</v>
      </c>
      <c r="B254">
        <v>2021</v>
      </c>
      <c r="C254" t="s">
        <v>173</v>
      </c>
      <c r="D254" t="s">
        <v>177</v>
      </c>
      <c r="E254" t="s">
        <v>13</v>
      </c>
      <c r="F254">
        <v>165000</v>
      </c>
      <c r="G254" t="s">
        <v>19</v>
      </c>
      <c r="H254">
        <v>165000</v>
      </c>
      <c r="I254" t="s">
        <v>29</v>
      </c>
      <c r="J254">
        <v>100</v>
      </c>
      <c r="K254" t="s">
        <v>29</v>
      </c>
      <c r="L254" t="s">
        <v>171</v>
      </c>
    </row>
    <row r="255" spans="1:12">
      <c r="A255">
        <v>497</v>
      </c>
      <c r="B255">
        <v>2022</v>
      </c>
      <c r="C255" t="s">
        <v>173</v>
      </c>
      <c r="D255" t="s">
        <v>177</v>
      </c>
      <c r="E255" t="s">
        <v>13</v>
      </c>
      <c r="F255">
        <v>165000</v>
      </c>
      <c r="G255" t="s">
        <v>19</v>
      </c>
      <c r="H255">
        <v>165000</v>
      </c>
      <c r="I255" t="s">
        <v>29</v>
      </c>
      <c r="J255">
        <v>100</v>
      </c>
      <c r="K255" t="s">
        <v>29</v>
      </c>
      <c r="L255" t="s">
        <v>170</v>
      </c>
    </row>
    <row r="256" spans="1:12">
      <c r="A256">
        <v>315</v>
      </c>
      <c r="B256">
        <v>2022</v>
      </c>
      <c r="C256" t="s">
        <v>173</v>
      </c>
      <c r="D256" t="s">
        <v>177</v>
      </c>
      <c r="E256" t="s">
        <v>13</v>
      </c>
      <c r="F256">
        <v>165220</v>
      </c>
      <c r="G256" t="s">
        <v>19</v>
      </c>
      <c r="H256">
        <v>165220</v>
      </c>
      <c r="I256" t="s">
        <v>29</v>
      </c>
      <c r="J256">
        <v>100</v>
      </c>
      <c r="K256" t="s">
        <v>29</v>
      </c>
      <c r="L256" t="s">
        <v>170</v>
      </c>
    </row>
    <row r="257" spans="1:12">
      <c r="A257">
        <v>334</v>
      </c>
      <c r="B257">
        <v>2022</v>
      </c>
      <c r="C257" t="s">
        <v>173</v>
      </c>
      <c r="D257" t="s">
        <v>177</v>
      </c>
      <c r="E257" t="s">
        <v>43</v>
      </c>
      <c r="F257">
        <v>165400</v>
      </c>
      <c r="G257" t="s">
        <v>19</v>
      </c>
      <c r="H257">
        <v>165400</v>
      </c>
      <c r="I257" t="s">
        <v>29</v>
      </c>
      <c r="J257">
        <v>100</v>
      </c>
      <c r="K257" t="s">
        <v>29</v>
      </c>
      <c r="L257" t="s">
        <v>170</v>
      </c>
    </row>
    <row r="258" spans="1:12">
      <c r="A258">
        <v>377</v>
      </c>
      <c r="B258">
        <v>2022</v>
      </c>
      <c r="C258" t="s">
        <v>173</v>
      </c>
      <c r="D258" t="s">
        <v>177</v>
      </c>
      <c r="E258" t="s">
        <v>43</v>
      </c>
      <c r="F258">
        <v>165400</v>
      </c>
      <c r="G258" t="s">
        <v>19</v>
      </c>
      <c r="H258">
        <v>165400</v>
      </c>
      <c r="I258" t="s">
        <v>29</v>
      </c>
      <c r="J258">
        <v>100</v>
      </c>
      <c r="K258" t="s">
        <v>29</v>
      </c>
      <c r="L258" t="s">
        <v>170</v>
      </c>
    </row>
    <row r="259" spans="1:12">
      <c r="A259">
        <v>352</v>
      </c>
      <c r="B259">
        <v>2022</v>
      </c>
      <c r="C259" t="s">
        <v>173</v>
      </c>
      <c r="D259" t="s">
        <v>177</v>
      </c>
      <c r="E259" t="s">
        <v>13</v>
      </c>
      <c r="F259">
        <v>167000</v>
      </c>
      <c r="G259" t="s">
        <v>19</v>
      </c>
      <c r="H259">
        <v>167000</v>
      </c>
      <c r="I259" t="s">
        <v>29</v>
      </c>
      <c r="J259">
        <v>100</v>
      </c>
      <c r="K259" t="s">
        <v>29</v>
      </c>
      <c r="L259" t="s">
        <v>170</v>
      </c>
    </row>
    <row r="260" spans="1:12">
      <c r="A260">
        <v>336</v>
      </c>
      <c r="B260">
        <v>2022</v>
      </c>
      <c r="C260" t="s">
        <v>164</v>
      </c>
      <c r="D260" t="s">
        <v>177</v>
      </c>
      <c r="E260" t="s">
        <v>31</v>
      </c>
      <c r="F260">
        <v>167000</v>
      </c>
      <c r="G260" t="s">
        <v>19</v>
      </c>
      <c r="H260">
        <v>167000</v>
      </c>
      <c r="I260" t="s">
        <v>29</v>
      </c>
      <c r="J260">
        <v>100</v>
      </c>
      <c r="K260" t="s">
        <v>29</v>
      </c>
      <c r="L260" t="s">
        <v>170</v>
      </c>
    </row>
    <row r="261" spans="1:12">
      <c r="A261">
        <v>343</v>
      </c>
      <c r="B261">
        <v>2022</v>
      </c>
      <c r="C261" t="s">
        <v>165</v>
      </c>
      <c r="D261" t="s">
        <v>177</v>
      </c>
      <c r="E261" t="s">
        <v>106</v>
      </c>
      <c r="F261">
        <v>167875</v>
      </c>
      <c r="G261" t="s">
        <v>19</v>
      </c>
      <c r="H261">
        <v>167875</v>
      </c>
      <c r="I261" t="s">
        <v>29</v>
      </c>
      <c r="J261">
        <v>100</v>
      </c>
      <c r="K261" t="s">
        <v>29</v>
      </c>
      <c r="L261" t="s">
        <v>170</v>
      </c>
    </row>
    <row r="262" spans="1:12">
      <c r="A262">
        <v>88</v>
      </c>
      <c r="B262">
        <v>2021</v>
      </c>
      <c r="C262" t="s">
        <v>173</v>
      </c>
      <c r="D262" t="s">
        <v>177</v>
      </c>
      <c r="E262" t="s">
        <v>41</v>
      </c>
      <c r="F262">
        <v>170000</v>
      </c>
      <c r="G262" t="s">
        <v>19</v>
      </c>
      <c r="H262">
        <v>170000</v>
      </c>
      <c r="I262" t="s">
        <v>29</v>
      </c>
      <c r="J262">
        <v>100</v>
      </c>
      <c r="K262" t="s">
        <v>29</v>
      </c>
      <c r="L262" t="s">
        <v>171</v>
      </c>
    </row>
    <row r="263" spans="1:12">
      <c r="A263">
        <v>249</v>
      </c>
      <c r="B263">
        <v>2021</v>
      </c>
      <c r="C263" t="s">
        <v>173</v>
      </c>
      <c r="D263" t="s">
        <v>177</v>
      </c>
      <c r="E263" t="s">
        <v>124</v>
      </c>
      <c r="F263">
        <v>170000</v>
      </c>
      <c r="G263" t="s">
        <v>19</v>
      </c>
      <c r="H263">
        <v>170000</v>
      </c>
      <c r="I263" t="s">
        <v>29</v>
      </c>
      <c r="J263">
        <v>100</v>
      </c>
      <c r="K263" t="s">
        <v>29</v>
      </c>
      <c r="L263" t="s">
        <v>170</v>
      </c>
    </row>
    <row r="264" spans="1:12">
      <c r="A264">
        <v>328</v>
      </c>
      <c r="B264">
        <v>2022</v>
      </c>
      <c r="C264" t="s">
        <v>173</v>
      </c>
      <c r="D264" t="s">
        <v>177</v>
      </c>
      <c r="E264" t="s">
        <v>31</v>
      </c>
      <c r="F264">
        <v>170000</v>
      </c>
      <c r="G264" t="s">
        <v>19</v>
      </c>
      <c r="H264">
        <v>170000</v>
      </c>
      <c r="I264" t="s">
        <v>29</v>
      </c>
      <c r="J264">
        <v>100</v>
      </c>
      <c r="K264" t="s">
        <v>29</v>
      </c>
      <c r="L264" t="s">
        <v>170</v>
      </c>
    </row>
    <row r="265" spans="1:12">
      <c r="A265">
        <v>369</v>
      </c>
      <c r="B265">
        <v>2022</v>
      </c>
      <c r="C265" t="s">
        <v>173</v>
      </c>
      <c r="D265" t="s">
        <v>177</v>
      </c>
      <c r="E265" t="s">
        <v>13</v>
      </c>
      <c r="F265">
        <v>170000</v>
      </c>
      <c r="G265" t="s">
        <v>19</v>
      </c>
      <c r="H265">
        <v>170000</v>
      </c>
      <c r="I265" t="s">
        <v>29</v>
      </c>
      <c r="J265">
        <v>100</v>
      </c>
      <c r="K265" t="s">
        <v>29</v>
      </c>
      <c r="L265" t="s">
        <v>170</v>
      </c>
    </row>
    <row r="266" spans="1:12">
      <c r="A266">
        <v>566</v>
      </c>
      <c r="B266">
        <v>2022</v>
      </c>
      <c r="C266" t="s">
        <v>173</v>
      </c>
      <c r="D266" t="s">
        <v>177</v>
      </c>
      <c r="E266" t="s">
        <v>31</v>
      </c>
      <c r="F266">
        <v>170000</v>
      </c>
      <c r="G266" t="s">
        <v>19</v>
      </c>
      <c r="H266">
        <v>170000</v>
      </c>
      <c r="I266" t="s">
        <v>29</v>
      </c>
      <c r="J266">
        <v>100</v>
      </c>
      <c r="K266" t="s">
        <v>29</v>
      </c>
      <c r="L266" t="s">
        <v>170</v>
      </c>
    </row>
    <row r="267" spans="1:12">
      <c r="A267">
        <v>597</v>
      </c>
      <c r="B267">
        <v>2022</v>
      </c>
      <c r="C267" t="s">
        <v>173</v>
      </c>
      <c r="D267" t="s">
        <v>177</v>
      </c>
      <c r="E267" t="s">
        <v>31</v>
      </c>
      <c r="F267">
        <v>170000</v>
      </c>
      <c r="G267" t="s">
        <v>19</v>
      </c>
      <c r="H267">
        <v>170000</v>
      </c>
      <c r="I267" t="s">
        <v>29</v>
      </c>
      <c r="J267">
        <v>100</v>
      </c>
      <c r="K267" t="s">
        <v>29</v>
      </c>
      <c r="L267" t="s">
        <v>170</v>
      </c>
    </row>
    <row r="268" spans="1:12">
      <c r="A268">
        <v>170</v>
      </c>
      <c r="B268">
        <v>2021</v>
      </c>
      <c r="C268" t="s">
        <v>164</v>
      </c>
      <c r="D268" t="s">
        <v>177</v>
      </c>
      <c r="E268" t="s">
        <v>109</v>
      </c>
      <c r="F268">
        <v>170000</v>
      </c>
      <c r="G268" t="s">
        <v>19</v>
      </c>
      <c r="H268">
        <v>170000</v>
      </c>
      <c r="I268" t="s">
        <v>29</v>
      </c>
      <c r="J268">
        <v>100</v>
      </c>
      <c r="K268" t="s">
        <v>29</v>
      </c>
      <c r="L268" t="s">
        <v>171</v>
      </c>
    </row>
    <row r="269" spans="1:12">
      <c r="A269">
        <v>294</v>
      </c>
      <c r="B269">
        <v>2022</v>
      </c>
      <c r="C269" t="s">
        <v>164</v>
      </c>
      <c r="D269" t="s">
        <v>177</v>
      </c>
      <c r="E269" t="s">
        <v>43</v>
      </c>
      <c r="F269">
        <v>170000</v>
      </c>
      <c r="G269" t="s">
        <v>19</v>
      </c>
      <c r="H269">
        <v>170000</v>
      </c>
      <c r="I269" t="s">
        <v>29</v>
      </c>
      <c r="J269">
        <v>100</v>
      </c>
      <c r="K269" t="s">
        <v>29</v>
      </c>
      <c r="L269" t="s">
        <v>170</v>
      </c>
    </row>
    <row r="270" spans="1:12">
      <c r="A270">
        <v>175</v>
      </c>
      <c r="B270">
        <v>2021</v>
      </c>
      <c r="C270" t="s">
        <v>173</v>
      </c>
      <c r="D270" t="s">
        <v>177</v>
      </c>
      <c r="E270" t="s">
        <v>63</v>
      </c>
      <c r="F270">
        <v>174000</v>
      </c>
      <c r="G270" t="s">
        <v>19</v>
      </c>
      <c r="H270">
        <v>174000</v>
      </c>
      <c r="I270" t="s">
        <v>29</v>
      </c>
      <c r="J270">
        <v>100</v>
      </c>
      <c r="K270" t="s">
        <v>29</v>
      </c>
      <c r="L270" t="s">
        <v>171</v>
      </c>
    </row>
    <row r="271" spans="1:12">
      <c r="A271">
        <v>193</v>
      </c>
      <c r="B271">
        <v>2021</v>
      </c>
      <c r="C271" t="s">
        <v>173</v>
      </c>
      <c r="D271" t="s">
        <v>177</v>
      </c>
      <c r="E271" t="s">
        <v>79</v>
      </c>
      <c r="F271">
        <v>174000</v>
      </c>
      <c r="G271" t="s">
        <v>19</v>
      </c>
      <c r="H271">
        <v>174000</v>
      </c>
      <c r="I271" t="s">
        <v>29</v>
      </c>
      <c r="J271">
        <v>100</v>
      </c>
      <c r="K271" t="s">
        <v>29</v>
      </c>
      <c r="L271" t="s">
        <v>171</v>
      </c>
    </row>
    <row r="272" spans="1:12">
      <c r="A272">
        <v>344</v>
      </c>
      <c r="B272">
        <v>2022</v>
      </c>
      <c r="C272" t="s">
        <v>165</v>
      </c>
      <c r="D272" t="s">
        <v>177</v>
      </c>
      <c r="E272" t="s">
        <v>131</v>
      </c>
      <c r="F272">
        <v>175000</v>
      </c>
      <c r="G272" t="s">
        <v>19</v>
      </c>
      <c r="H272">
        <v>175000</v>
      </c>
      <c r="I272" t="s">
        <v>29</v>
      </c>
      <c r="J272">
        <v>100</v>
      </c>
      <c r="K272" t="s">
        <v>29</v>
      </c>
      <c r="L272" t="s">
        <v>170</v>
      </c>
    </row>
    <row r="273" spans="1:12">
      <c r="A273">
        <v>404</v>
      </c>
      <c r="B273">
        <v>2022</v>
      </c>
      <c r="C273" t="s">
        <v>173</v>
      </c>
      <c r="D273" t="s">
        <v>177</v>
      </c>
      <c r="E273" t="s">
        <v>43</v>
      </c>
      <c r="F273">
        <v>175000</v>
      </c>
      <c r="G273" t="s">
        <v>19</v>
      </c>
      <c r="H273">
        <v>175000</v>
      </c>
      <c r="I273" t="s">
        <v>29</v>
      </c>
      <c r="J273">
        <v>100</v>
      </c>
      <c r="K273" t="s">
        <v>29</v>
      </c>
      <c r="L273" t="s">
        <v>170</v>
      </c>
    </row>
    <row r="274" spans="1:12">
      <c r="A274">
        <v>562</v>
      </c>
      <c r="B274">
        <v>2022</v>
      </c>
      <c r="C274" t="s">
        <v>173</v>
      </c>
      <c r="D274" t="s">
        <v>177</v>
      </c>
      <c r="E274" t="s">
        <v>43</v>
      </c>
      <c r="F274">
        <v>175100</v>
      </c>
      <c r="G274" t="s">
        <v>19</v>
      </c>
      <c r="H274">
        <v>175100</v>
      </c>
      <c r="I274" t="s">
        <v>29</v>
      </c>
      <c r="J274">
        <v>100</v>
      </c>
      <c r="K274" t="s">
        <v>29</v>
      </c>
      <c r="L274" t="s">
        <v>170</v>
      </c>
    </row>
    <row r="275" spans="1:12">
      <c r="A275">
        <v>552</v>
      </c>
      <c r="B275">
        <v>2022</v>
      </c>
      <c r="C275" t="s">
        <v>173</v>
      </c>
      <c r="D275" t="s">
        <v>177</v>
      </c>
      <c r="E275" t="s">
        <v>13</v>
      </c>
      <c r="F275">
        <v>176000</v>
      </c>
      <c r="G275" t="s">
        <v>19</v>
      </c>
      <c r="H275">
        <v>176000</v>
      </c>
      <c r="I275" t="s">
        <v>29</v>
      </c>
      <c r="J275">
        <v>100</v>
      </c>
      <c r="K275" t="s">
        <v>29</v>
      </c>
      <c r="L275" t="s">
        <v>170</v>
      </c>
    </row>
    <row r="276" spans="1:12">
      <c r="A276">
        <v>525</v>
      </c>
      <c r="B276">
        <v>2022</v>
      </c>
      <c r="C276" t="s">
        <v>173</v>
      </c>
      <c r="D276" t="s">
        <v>177</v>
      </c>
      <c r="E276" t="s">
        <v>84</v>
      </c>
      <c r="F276">
        <v>177000</v>
      </c>
      <c r="G276" t="s">
        <v>19</v>
      </c>
      <c r="H276">
        <v>177000</v>
      </c>
      <c r="I276" t="s">
        <v>29</v>
      </c>
      <c r="J276">
        <v>100</v>
      </c>
      <c r="K276" t="s">
        <v>29</v>
      </c>
      <c r="L276" t="s">
        <v>171</v>
      </c>
    </row>
    <row r="277" spans="1:12">
      <c r="A277">
        <v>323</v>
      </c>
      <c r="B277">
        <v>2022</v>
      </c>
      <c r="C277" t="s">
        <v>173</v>
      </c>
      <c r="D277" t="s">
        <v>177</v>
      </c>
      <c r="E277" t="s">
        <v>13</v>
      </c>
      <c r="F277">
        <v>180000</v>
      </c>
      <c r="G277" t="s">
        <v>19</v>
      </c>
      <c r="H277">
        <v>180000</v>
      </c>
      <c r="I277" t="s">
        <v>29</v>
      </c>
      <c r="J277">
        <v>0</v>
      </c>
      <c r="K277" t="s">
        <v>29</v>
      </c>
      <c r="L277" t="s">
        <v>171</v>
      </c>
    </row>
    <row r="278" spans="1:12">
      <c r="A278">
        <v>409</v>
      </c>
      <c r="B278">
        <v>2022</v>
      </c>
      <c r="C278" t="s">
        <v>173</v>
      </c>
      <c r="D278" t="s">
        <v>177</v>
      </c>
      <c r="E278" t="s">
        <v>13</v>
      </c>
      <c r="F278">
        <v>180000</v>
      </c>
      <c r="G278" t="s">
        <v>19</v>
      </c>
      <c r="H278">
        <v>180000</v>
      </c>
      <c r="I278" t="s">
        <v>29</v>
      </c>
      <c r="J278">
        <v>100</v>
      </c>
      <c r="K278" t="s">
        <v>29</v>
      </c>
      <c r="L278" t="s">
        <v>170</v>
      </c>
    </row>
    <row r="279" spans="1:12">
      <c r="A279">
        <v>423</v>
      </c>
      <c r="B279">
        <v>2022</v>
      </c>
      <c r="C279" t="s">
        <v>173</v>
      </c>
      <c r="D279" t="s">
        <v>177</v>
      </c>
      <c r="E279" t="s">
        <v>13</v>
      </c>
      <c r="F279">
        <v>180000</v>
      </c>
      <c r="G279" t="s">
        <v>19</v>
      </c>
      <c r="H279">
        <v>180000</v>
      </c>
      <c r="I279" t="s">
        <v>29</v>
      </c>
      <c r="J279">
        <v>0</v>
      </c>
      <c r="K279" t="s">
        <v>29</v>
      </c>
      <c r="L279" t="s">
        <v>170</v>
      </c>
    </row>
    <row r="280" spans="1:12">
      <c r="A280">
        <v>448</v>
      </c>
      <c r="B280">
        <v>2022</v>
      </c>
      <c r="C280" t="s">
        <v>173</v>
      </c>
      <c r="D280" t="s">
        <v>177</v>
      </c>
      <c r="E280" t="s">
        <v>43</v>
      </c>
      <c r="F280">
        <v>180000</v>
      </c>
      <c r="G280" t="s">
        <v>19</v>
      </c>
      <c r="H280">
        <v>180000</v>
      </c>
      <c r="I280" t="s">
        <v>29</v>
      </c>
      <c r="J280">
        <v>100</v>
      </c>
      <c r="K280" t="s">
        <v>29</v>
      </c>
      <c r="L280" t="s">
        <v>170</v>
      </c>
    </row>
    <row r="281" spans="1:12">
      <c r="A281">
        <v>234</v>
      </c>
      <c r="B281">
        <v>2021</v>
      </c>
      <c r="C281" t="s">
        <v>164</v>
      </c>
      <c r="D281" t="s">
        <v>177</v>
      </c>
      <c r="E281" t="s">
        <v>109</v>
      </c>
      <c r="F281">
        <v>180000</v>
      </c>
      <c r="G281" t="s">
        <v>19</v>
      </c>
      <c r="H281">
        <v>180000</v>
      </c>
      <c r="I281" t="s">
        <v>29</v>
      </c>
      <c r="J281">
        <v>100</v>
      </c>
      <c r="K281" t="s">
        <v>29</v>
      </c>
      <c r="L281" t="s">
        <v>171</v>
      </c>
    </row>
    <row r="282" spans="1:12">
      <c r="A282">
        <v>319</v>
      </c>
      <c r="B282">
        <v>2022</v>
      </c>
      <c r="C282" t="s">
        <v>173</v>
      </c>
      <c r="D282" t="s">
        <v>177</v>
      </c>
      <c r="E282" t="s">
        <v>43</v>
      </c>
      <c r="F282">
        <v>181940</v>
      </c>
      <c r="G282" t="s">
        <v>19</v>
      </c>
      <c r="H282">
        <v>181940</v>
      </c>
      <c r="I282" t="s">
        <v>29</v>
      </c>
      <c r="J282">
        <v>0</v>
      </c>
      <c r="K282" t="s">
        <v>29</v>
      </c>
      <c r="L282" t="s">
        <v>170</v>
      </c>
    </row>
    <row r="283" spans="1:12">
      <c r="A283">
        <v>407</v>
      </c>
      <c r="B283">
        <v>2022</v>
      </c>
      <c r="C283" t="s">
        <v>173</v>
      </c>
      <c r="D283" t="s">
        <v>177</v>
      </c>
      <c r="E283" t="s">
        <v>43</v>
      </c>
      <c r="F283">
        <v>183600</v>
      </c>
      <c r="G283" t="s">
        <v>19</v>
      </c>
      <c r="H283">
        <v>183600</v>
      </c>
      <c r="I283" t="s">
        <v>29</v>
      </c>
      <c r="J283">
        <v>100</v>
      </c>
      <c r="K283" t="s">
        <v>29</v>
      </c>
      <c r="L283" t="s">
        <v>171</v>
      </c>
    </row>
    <row r="284" spans="1:12">
      <c r="A284">
        <v>561</v>
      </c>
      <c r="B284">
        <v>2022</v>
      </c>
      <c r="C284" t="s">
        <v>173</v>
      </c>
      <c r="D284" t="s">
        <v>177</v>
      </c>
      <c r="E284" t="s">
        <v>131</v>
      </c>
      <c r="F284">
        <v>184700</v>
      </c>
      <c r="G284" t="s">
        <v>19</v>
      </c>
      <c r="H284">
        <v>184700</v>
      </c>
      <c r="I284" t="s">
        <v>29</v>
      </c>
      <c r="J284">
        <v>0</v>
      </c>
      <c r="K284" t="s">
        <v>29</v>
      </c>
      <c r="L284" t="s">
        <v>170</v>
      </c>
    </row>
    <row r="285" spans="1:12">
      <c r="A285">
        <v>215</v>
      </c>
      <c r="B285">
        <v>2021</v>
      </c>
      <c r="C285" t="s">
        <v>173</v>
      </c>
      <c r="D285" t="s">
        <v>177</v>
      </c>
      <c r="E285" t="s">
        <v>97</v>
      </c>
      <c r="F285">
        <v>185000</v>
      </c>
      <c r="G285" t="s">
        <v>19</v>
      </c>
      <c r="H285">
        <v>185000</v>
      </c>
      <c r="I285" t="s">
        <v>29</v>
      </c>
      <c r="J285">
        <v>100</v>
      </c>
      <c r="K285" t="s">
        <v>29</v>
      </c>
      <c r="L285" t="s">
        <v>171</v>
      </c>
    </row>
    <row r="286" spans="1:12">
      <c r="A286">
        <v>258</v>
      </c>
      <c r="B286">
        <v>2021</v>
      </c>
      <c r="C286" t="s">
        <v>173</v>
      </c>
      <c r="D286" t="s">
        <v>177</v>
      </c>
      <c r="E286" t="s">
        <v>28</v>
      </c>
      <c r="F286">
        <v>185000</v>
      </c>
      <c r="G286" t="s">
        <v>19</v>
      </c>
      <c r="H286">
        <v>185000</v>
      </c>
      <c r="I286" t="s">
        <v>29</v>
      </c>
      <c r="J286">
        <v>50</v>
      </c>
      <c r="K286" t="s">
        <v>29</v>
      </c>
      <c r="L286" t="s">
        <v>171</v>
      </c>
    </row>
    <row r="287" spans="1:12">
      <c r="A287">
        <v>476</v>
      </c>
      <c r="B287">
        <v>2022</v>
      </c>
      <c r="C287" t="s">
        <v>173</v>
      </c>
      <c r="D287" t="s">
        <v>177</v>
      </c>
      <c r="E287" t="s">
        <v>13</v>
      </c>
      <c r="F287">
        <v>185100</v>
      </c>
      <c r="G287" t="s">
        <v>19</v>
      </c>
      <c r="H287">
        <v>185100</v>
      </c>
      <c r="I287" t="s">
        <v>29</v>
      </c>
      <c r="J287">
        <v>100</v>
      </c>
      <c r="K287" t="s">
        <v>29</v>
      </c>
      <c r="L287" t="s">
        <v>170</v>
      </c>
    </row>
    <row r="288" spans="1:12">
      <c r="A288">
        <v>47</v>
      </c>
      <c r="B288">
        <v>2020</v>
      </c>
      <c r="C288" t="s">
        <v>173</v>
      </c>
      <c r="D288" t="s">
        <v>177</v>
      </c>
      <c r="E288" t="s">
        <v>43</v>
      </c>
      <c r="F288">
        <v>188000</v>
      </c>
      <c r="G288" t="s">
        <v>19</v>
      </c>
      <c r="H288">
        <v>188000</v>
      </c>
      <c r="I288" t="s">
        <v>29</v>
      </c>
      <c r="J288">
        <v>100</v>
      </c>
      <c r="K288" t="s">
        <v>29</v>
      </c>
      <c r="L288" t="s">
        <v>171</v>
      </c>
    </row>
    <row r="289" spans="1:12">
      <c r="A289">
        <v>371</v>
      </c>
      <c r="B289">
        <v>2022</v>
      </c>
      <c r="C289" t="s">
        <v>173</v>
      </c>
      <c r="D289" t="s">
        <v>177</v>
      </c>
      <c r="E289" t="s">
        <v>28</v>
      </c>
      <c r="F289">
        <v>189650</v>
      </c>
      <c r="G289" t="s">
        <v>19</v>
      </c>
      <c r="H289">
        <v>189650</v>
      </c>
      <c r="I289" t="s">
        <v>29</v>
      </c>
      <c r="J289">
        <v>0</v>
      </c>
      <c r="K289" t="s">
        <v>29</v>
      </c>
      <c r="L289" t="s">
        <v>170</v>
      </c>
    </row>
    <row r="290" spans="1:12">
      <c r="A290">
        <v>438</v>
      </c>
      <c r="B290">
        <v>2022</v>
      </c>
      <c r="C290" t="s">
        <v>173</v>
      </c>
      <c r="D290" t="s">
        <v>177</v>
      </c>
      <c r="E290" t="s">
        <v>28</v>
      </c>
      <c r="F290">
        <v>189650</v>
      </c>
      <c r="G290" t="s">
        <v>19</v>
      </c>
      <c r="H290">
        <v>189650</v>
      </c>
      <c r="I290" t="s">
        <v>29</v>
      </c>
      <c r="J290">
        <v>0</v>
      </c>
      <c r="K290" t="s">
        <v>29</v>
      </c>
      <c r="L290" t="s">
        <v>170</v>
      </c>
    </row>
    <row r="291" spans="1:12">
      <c r="A291">
        <v>6</v>
      </c>
      <c r="B291">
        <v>2020</v>
      </c>
      <c r="C291" t="s">
        <v>173</v>
      </c>
      <c r="D291" t="s">
        <v>177</v>
      </c>
      <c r="E291" t="s">
        <v>32</v>
      </c>
      <c r="F291">
        <v>190000</v>
      </c>
      <c r="G291" t="s">
        <v>19</v>
      </c>
      <c r="H291">
        <v>190000</v>
      </c>
      <c r="I291" t="s">
        <v>29</v>
      </c>
      <c r="J291">
        <v>100</v>
      </c>
      <c r="K291" t="s">
        <v>29</v>
      </c>
      <c r="L291" t="s">
        <v>169</v>
      </c>
    </row>
    <row r="292" spans="1:12">
      <c r="A292">
        <v>67</v>
      </c>
      <c r="B292">
        <v>2020</v>
      </c>
      <c r="C292" t="s">
        <v>173</v>
      </c>
      <c r="D292" t="s">
        <v>177</v>
      </c>
      <c r="E292" t="s">
        <v>79</v>
      </c>
      <c r="F292">
        <v>190200</v>
      </c>
      <c r="G292" t="s">
        <v>19</v>
      </c>
      <c r="H292">
        <v>190200</v>
      </c>
      <c r="I292" t="s">
        <v>29</v>
      </c>
      <c r="J292">
        <v>100</v>
      </c>
      <c r="K292" t="s">
        <v>29</v>
      </c>
      <c r="L292" t="s">
        <v>170</v>
      </c>
    </row>
    <row r="293" spans="1:12">
      <c r="A293">
        <v>590</v>
      </c>
      <c r="B293">
        <v>2022</v>
      </c>
      <c r="C293" t="s">
        <v>173</v>
      </c>
      <c r="D293" t="s">
        <v>177</v>
      </c>
      <c r="E293" t="s">
        <v>109</v>
      </c>
      <c r="F293">
        <v>192564</v>
      </c>
      <c r="G293" t="s">
        <v>19</v>
      </c>
      <c r="H293">
        <v>192564</v>
      </c>
      <c r="I293" t="s">
        <v>29</v>
      </c>
      <c r="J293">
        <v>100</v>
      </c>
      <c r="K293" t="s">
        <v>29</v>
      </c>
      <c r="L293" t="s">
        <v>170</v>
      </c>
    </row>
    <row r="294" spans="1:12">
      <c r="A294">
        <v>533</v>
      </c>
      <c r="B294">
        <v>2022</v>
      </c>
      <c r="C294" t="s">
        <v>173</v>
      </c>
      <c r="D294" t="s">
        <v>177</v>
      </c>
      <c r="E294" t="s">
        <v>28</v>
      </c>
      <c r="F294">
        <v>192600</v>
      </c>
      <c r="G294" t="s">
        <v>19</v>
      </c>
      <c r="H294">
        <v>192600</v>
      </c>
      <c r="I294" t="s">
        <v>29</v>
      </c>
      <c r="J294">
        <v>100</v>
      </c>
      <c r="K294" t="s">
        <v>29</v>
      </c>
      <c r="L294" t="s">
        <v>170</v>
      </c>
    </row>
    <row r="295" spans="1:12">
      <c r="A295">
        <v>201</v>
      </c>
      <c r="B295">
        <v>2021</v>
      </c>
      <c r="C295" t="s">
        <v>173</v>
      </c>
      <c r="D295" t="s">
        <v>177</v>
      </c>
      <c r="E295" t="s">
        <v>68</v>
      </c>
      <c r="F295">
        <v>195000</v>
      </c>
      <c r="G295" t="s">
        <v>19</v>
      </c>
      <c r="H295">
        <v>195000</v>
      </c>
      <c r="I295" t="s">
        <v>29</v>
      </c>
      <c r="J295">
        <v>100</v>
      </c>
      <c r="K295" t="s">
        <v>29</v>
      </c>
      <c r="L295" t="s">
        <v>170</v>
      </c>
    </row>
    <row r="296" spans="1:12">
      <c r="A296">
        <v>121</v>
      </c>
      <c r="B296">
        <v>2021</v>
      </c>
      <c r="C296" t="s">
        <v>173</v>
      </c>
      <c r="D296" t="s">
        <v>177</v>
      </c>
      <c r="E296" t="s">
        <v>97</v>
      </c>
      <c r="F296">
        <v>200000</v>
      </c>
      <c r="G296" t="s">
        <v>19</v>
      </c>
      <c r="H296">
        <v>200000</v>
      </c>
      <c r="I296" t="s">
        <v>29</v>
      </c>
      <c r="J296">
        <v>100</v>
      </c>
      <c r="K296" t="s">
        <v>29</v>
      </c>
      <c r="L296" t="s">
        <v>170</v>
      </c>
    </row>
    <row r="297" spans="1:12">
      <c r="A297">
        <v>206</v>
      </c>
      <c r="B297">
        <v>2021</v>
      </c>
      <c r="C297" t="s">
        <v>173</v>
      </c>
      <c r="D297" t="s">
        <v>177</v>
      </c>
      <c r="E297" t="s">
        <v>28</v>
      </c>
      <c r="F297">
        <v>200000</v>
      </c>
      <c r="G297" t="s">
        <v>19</v>
      </c>
      <c r="H297">
        <v>200000</v>
      </c>
      <c r="I297" t="s">
        <v>29</v>
      </c>
      <c r="J297">
        <v>100</v>
      </c>
      <c r="K297" t="s">
        <v>29</v>
      </c>
      <c r="L297" t="s">
        <v>171</v>
      </c>
    </row>
    <row r="298" spans="1:12">
      <c r="A298">
        <v>232</v>
      </c>
      <c r="B298">
        <v>2021</v>
      </c>
      <c r="C298" t="s">
        <v>173</v>
      </c>
      <c r="D298" t="s">
        <v>177</v>
      </c>
      <c r="E298" t="s">
        <v>94</v>
      </c>
      <c r="F298">
        <v>200000</v>
      </c>
      <c r="G298" t="s">
        <v>19</v>
      </c>
      <c r="H298">
        <v>200000</v>
      </c>
      <c r="I298" t="s">
        <v>29</v>
      </c>
      <c r="J298">
        <v>100</v>
      </c>
      <c r="K298" t="s">
        <v>29</v>
      </c>
      <c r="L298" t="s">
        <v>171</v>
      </c>
    </row>
    <row r="299" spans="1:12">
      <c r="A299">
        <v>233</v>
      </c>
      <c r="B299">
        <v>2021</v>
      </c>
      <c r="C299" t="s">
        <v>173</v>
      </c>
      <c r="D299" t="s">
        <v>177</v>
      </c>
      <c r="E299" t="s">
        <v>31</v>
      </c>
      <c r="F299">
        <v>200000</v>
      </c>
      <c r="G299" t="s">
        <v>19</v>
      </c>
      <c r="H299">
        <v>200000</v>
      </c>
      <c r="I299" t="s">
        <v>29</v>
      </c>
      <c r="J299">
        <v>100</v>
      </c>
      <c r="K299" t="s">
        <v>29</v>
      </c>
      <c r="L299" t="s">
        <v>171</v>
      </c>
    </row>
    <row r="300" spans="1:12">
      <c r="A300">
        <v>310</v>
      </c>
      <c r="B300">
        <v>2022</v>
      </c>
      <c r="C300" t="s">
        <v>165</v>
      </c>
      <c r="D300" t="s">
        <v>177</v>
      </c>
      <c r="E300" t="s">
        <v>43</v>
      </c>
      <c r="F300">
        <v>200000</v>
      </c>
      <c r="G300" t="s">
        <v>19</v>
      </c>
      <c r="H300">
        <v>200000</v>
      </c>
      <c r="I300" t="s">
        <v>29</v>
      </c>
      <c r="J300">
        <v>100</v>
      </c>
      <c r="K300" t="s">
        <v>29</v>
      </c>
      <c r="L300" t="s">
        <v>170</v>
      </c>
    </row>
    <row r="301" spans="1:12">
      <c r="A301">
        <v>490</v>
      </c>
      <c r="B301">
        <v>2022</v>
      </c>
      <c r="C301" t="s">
        <v>173</v>
      </c>
      <c r="D301" t="s">
        <v>177</v>
      </c>
      <c r="E301" t="s">
        <v>81</v>
      </c>
      <c r="F301">
        <v>200000</v>
      </c>
      <c r="G301" t="s">
        <v>19</v>
      </c>
      <c r="H301">
        <v>200000</v>
      </c>
      <c r="I301" t="s">
        <v>139</v>
      </c>
      <c r="J301">
        <v>100</v>
      </c>
      <c r="K301" t="s">
        <v>29</v>
      </c>
      <c r="L301" t="s">
        <v>170</v>
      </c>
    </row>
    <row r="302" spans="1:12">
      <c r="A302">
        <v>119</v>
      </c>
      <c r="B302">
        <v>2021</v>
      </c>
      <c r="C302" t="s">
        <v>164</v>
      </c>
      <c r="D302" t="s">
        <v>177</v>
      </c>
      <c r="E302" t="s">
        <v>43</v>
      </c>
      <c r="F302">
        <v>200000</v>
      </c>
      <c r="G302" t="s">
        <v>19</v>
      </c>
      <c r="H302">
        <v>200000</v>
      </c>
      <c r="I302" t="s">
        <v>29</v>
      </c>
      <c r="J302">
        <v>100</v>
      </c>
      <c r="K302" t="s">
        <v>29</v>
      </c>
      <c r="L302" t="s">
        <v>171</v>
      </c>
    </row>
    <row r="303" spans="1:12">
      <c r="A303">
        <v>256</v>
      </c>
      <c r="B303">
        <v>2021</v>
      </c>
      <c r="C303" t="s">
        <v>164</v>
      </c>
      <c r="D303" t="s">
        <v>177</v>
      </c>
      <c r="E303" t="s">
        <v>43</v>
      </c>
      <c r="F303">
        <v>200000</v>
      </c>
      <c r="G303" t="s">
        <v>19</v>
      </c>
      <c r="H303">
        <v>200000</v>
      </c>
      <c r="I303" t="s">
        <v>29</v>
      </c>
      <c r="J303">
        <v>100</v>
      </c>
      <c r="K303" t="s">
        <v>29</v>
      </c>
      <c r="L303" t="s">
        <v>171</v>
      </c>
    </row>
    <row r="304" spans="1:12">
      <c r="A304">
        <v>478</v>
      </c>
      <c r="B304">
        <v>2022</v>
      </c>
      <c r="C304" t="s">
        <v>164</v>
      </c>
      <c r="D304" t="s">
        <v>177</v>
      </c>
      <c r="E304" t="s">
        <v>13</v>
      </c>
      <c r="F304">
        <v>200000</v>
      </c>
      <c r="G304" t="s">
        <v>19</v>
      </c>
      <c r="H304">
        <v>200000</v>
      </c>
      <c r="I304" t="s">
        <v>29</v>
      </c>
      <c r="J304">
        <v>100</v>
      </c>
      <c r="K304" t="s">
        <v>29</v>
      </c>
      <c r="L304" t="s">
        <v>170</v>
      </c>
    </row>
    <row r="305" spans="1:12">
      <c r="A305">
        <v>606</v>
      </c>
      <c r="B305">
        <v>2022</v>
      </c>
      <c r="C305" t="s">
        <v>164</v>
      </c>
      <c r="D305" t="s">
        <v>177</v>
      </c>
      <c r="E305" t="s">
        <v>70</v>
      </c>
      <c r="F305">
        <v>200000</v>
      </c>
      <c r="G305" t="s">
        <v>19</v>
      </c>
      <c r="H305">
        <v>200000</v>
      </c>
      <c r="I305" t="s">
        <v>40</v>
      </c>
      <c r="J305">
        <v>100</v>
      </c>
      <c r="K305" t="s">
        <v>29</v>
      </c>
      <c r="L305" t="s">
        <v>171</v>
      </c>
    </row>
    <row r="306" spans="1:12">
      <c r="A306">
        <v>554</v>
      </c>
      <c r="B306">
        <v>2022</v>
      </c>
      <c r="C306" t="s">
        <v>173</v>
      </c>
      <c r="D306" t="s">
        <v>177</v>
      </c>
      <c r="E306" t="s">
        <v>43</v>
      </c>
      <c r="F306">
        <v>200100</v>
      </c>
      <c r="G306" t="s">
        <v>19</v>
      </c>
      <c r="H306">
        <v>200100</v>
      </c>
      <c r="I306" t="s">
        <v>29</v>
      </c>
      <c r="J306">
        <v>100</v>
      </c>
      <c r="K306" t="s">
        <v>29</v>
      </c>
      <c r="L306" t="s">
        <v>170</v>
      </c>
    </row>
    <row r="307" spans="1:12">
      <c r="A307">
        <v>550</v>
      </c>
      <c r="B307">
        <v>2022</v>
      </c>
      <c r="C307" t="s">
        <v>173</v>
      </c>
      <c r="D307" t="s">
        <v>177</v>
      </c>
      <c r="E307" t="s">
        <v>13</v>
      </c>
      <c r="F307">
        <v>205300</v>
      </c>
      <c r="G307" t="s">
        <v>19</v>
      </c>
      <c r="H307">
        <v>205300</v>
      </c>
      <c r="I307" t="s">
        <v>29</v>
      </c>
      <c r="J307">
        <v>0</v>
      </c>
      <c r="K307" t="s">
        <v>29</v>
      </c>
      <c r="L307" t="s">
        <v>171</v>
      </c>
    </row>
    <row r="308" spans="1:12">
      <c r="A308">
        <v>558</v>
      </c>
      <c r="B308">
        <v>2022</v>
      </c>
      <c r="C308" t="s">
        <v>173</v>
      </c>
      <c r="D308" t="s">
        <v>177</v>
      </c>
      <c r="E308" t="s">
        <v>13</v>
      </c>
      <c r="F308">
        <v>205300</v>
      </c>
      <c r="G308" t="s">
        <v>19</v>
      </c>
      <c r="H308">
        <v>205300</v>
      </c>
      <c r="I308" t="s">
        <v>29</v>
      </c>
      <c r="J308">
        <v>0</v>
      </c>
      <c r="K308" t="s">
        <v>29</v>
      </c>
      <c r="L308" t="s">
        <v>170</v>
      </c>
    </row>
    <row r="309" spans="1:12">
      <c r="A309">
        <v>560</v>
      </c>
      <c r="B309">
        <v>2022</v>
      </c>
      <c r="C309" t="s">
        <v>173</v>
      </c>
      <c r="D309" t="s">
        <v>177</v>
      </c>
      <c r="E309" t="s">
        <v>131</v>
      </c>
      <c r="F309">
        <v>205300</v>
      </c>
      <c r="G309" t="s">
        <v>19</v>
      </c>
      <c r="H309">
        <v>205300</v>
      </c>
      <c r="I309" t="s">
        <v>29</v>
      </c>
      <c r="J309">
        <v>0</v>
      </c>
      <c r="K309" t="s">
        <v>29</v>
      </c>
      <c r="L309" t="s">
        <v>170</v>
      </c>
    </row>
    <row r="310" spans="1:12">
      <c r="A310">
        <v>542</v>
      </c>
      <c r="B310">
        <v>2022</v>
      </c>
      <c r="C310" t="s">
        <v>164</v>
      </c>
      <c r="D310" t="s">
        <v>177</v>
      </c>
      <c r="E310" t="s">
        <v>43</v>
      </c>
      <c r="F310">
        <v>206699</v>
      </c>
      <c r="G310" t="s">
        <v>19</v>
      </c>
      <c r="H310">
        <v>206699</v>
      </c>
      <c r="I310" t="s">
        <v>29</v>
      </c>
      <c r="J310">
        <v>0</v>
      </c>
      <c r="K310" t="s">
        <v>29</v>
      </c>
      <c r="L310" t="s">
        <v>170</v>
      </c>
    </row>
    <row r="311" spans="1:12">
      <c r="A311">
        <v>378</v>
      </c>
      <c r="B311">
        <v>2022</v>
      </c>
      <c r="C311" t="s">
        <v>173</v>
      </c>
      <c r="D311" t="s">
        <v>177</v>
      </c>
      <c r="E311" t="s">
        <v>109</v>
      </c>
      <c r="F311">
        <v>208775</v>
      </c>
      <c r="G311" t="s">
        <v>19</v>
      </c>
      <c r="H311">
        <v>208775</v>
      </c>
      <c r="I311" t="s">
        <v>29</v>
      </c>
      <c r="J311">
        <v>100</v>
      </c>
      <c r="K311" t="s">
        <v>29</v>
      </c>
      <c r="L311" t="s">
        <v>170</v>
      </c>
    </row>
    <row r="312" spans="1:12">
      <c r="A312">
        <v>400</v>
      </c>
      <c r="B312">
        <v>2022</v>
      </c>
      <c r="C312" t="s">
        <v>173</v>
      </c>
      <c r="D312" t="s">
        <v>177</v>
      </c>
      <c r="E312" t="s">
        <v>43</v>
      </c>
      <c r="F312">
        <v>209100</v>
      </c>
      <c r="G312" t="s">
        <v>19</v>
      </c>
      <c r="H312">
        <v>209100</v>
      </c>
      <c r="I312" t="s">
        <v>29</v>
      </c>
      <c r="J312">
        <v>100</v>
      </c>
      <c r="K312" t="s">
        <v>29</v>
      </c>
      <c r="L312" t="s">
        <v>171</v>
      </c>
    </row>
    <row r="313" spans="1:12">
      <c r="A313">
        <v>446</v>
      </c>
      <c r="B313">
        <v>2022</v>
      </c>
      <c r="C313" t="s">
        <v>173</v>
      </c>
      <c r="D313" t="s">
        <v>177</v>
      </c>
      <c r="E313" t="s">
        <v>43</v>
      </c>
      <c r="F313">
        <v>209100</v>
      </c>
      <c r="G313" t="s">
        <v>19</v>
      </c>
      <c r="H313">
        <v>209100</v>
      </c>
      <c r="I313" t="s">
        <v>29</v>
      </c>
      <c r="J313">
        <v>100</v>
      </c>
      <c r="K313" t="s">
        <v>29</v>
      </c>
      <c r="L313" t="s">
        <v>171</v>
      </c>
    </row>
    <row r="314" spans="1:12">
      <c r="A314">
        <v>484</v>
      </c>
      <c r="B314">
        <v>2022</v>
      </c>
      <c r="C314" t="s">
        <v>173</v>
      </c>
      <c r="D314" t="s">
        <v>177</v>
      </c>
      <c r="E314" t="s">
        <v>43</v>
      </c>
      <c r="F314">
        <v>210000</v>
      </c>
      <c r="G314" t="s">
        <v>19</v>
      </c>
      <c r="H314">
        <v>210000</v>
      </c>
      <c r="I314" t="s">
        <v>29</v>
      </c>
      <c r="J314">
        <v>100</v>
      </c>
      <c r="K314" t="s">
        <v>29</v>
      </c>
      <c r="L314" t="s">
        <v>170</v>
      </c>
    </row>
    <row r="315" spans="1:12">
      <c r="A315">
        <v>570</v>
      </c>
      <c r="B315">
        <v>2022</v>
      </c>
      <c r="C315" t="s">
        <v>173</v>
      </c>
      <c r="D315" t="s">
        <v>177</v>
      </c>
      <c r="E315" t="s">
        <v>13</v>
      </c>
      <c r="F315">
        <v>210000</v>
      </c>
      <c r="G315" t="s">
        <v>19</v>
      </c>
      <c r="H315">
        <v>210000</v>
      </c>
      <c r="I315" t="s">
        <v>29</v>
      </c>
      <c r="J315">
        <v>100</v>
      </c>
      <c r="K315" t="s">
        <v>29</v>
      </c>
      <c r="L315" t="s">
        <v>170</v>
      </c>
    </row>
    <row r="316" spans="1:12">
      <c r="A316">
        <v>574</v>
      </c>
      <c r="B316">
        <v>2022</v>
      </c>
      <c r="C316" t="s">
        <v>173</v>
      </c>
      <c r="D316" t="s">
        <v>177</v>
      </c>
      <c r="E316" t="s">
        <v>13</v>
      </c>
      <c r="F316">
        <v>210000</v>
      </c>
      <c r="G316" t="s">
        <v>19</v>
      </c>
      <c r="H316">
        <v>210000</v>
      </c>
      <c r="I316" t="s">
        <v>29</v>
      </c>
      <c r="J316">
        <v>100</v>
      </c>
      <c r="K316" t="s">
        <v>29</v>
      </c>
      <c r="L316" t="s">
        <v>170</v>
      </c>
    </row>
    <row r="317" spans="1:12">
      <c r="A317">
        <v>576</v>
      </c>
      <c r="B317">
        <v>2022</v>
      </c>
      <c r="C317" t="s">
        <v>173</v>
      </c>
      <c r="D317" t="s">
        <v>177</v>
      </c>
      <c r="E317" t="s">
        <v>13</v>
      </c>
      <c r="F317">
        <v>210000</v>
      </c>
      <c r="G317" t="s">
        <v>19</v>
      </c>
      <c r="H317">
        <v>210000</v>
      </c>
      <c r="I317" t="s">
        <v>29</v>
      </c>
      <c r="J317">
        <v>100</v>
      </c>
      <c r="K317" t="s">
        <v>29</v>
      </c>
      <c r="L317" t="s">
        <v>170</v>
      </c>
    </row>
    <row r="318" spans="1:12">
      <c r="A318">
        <v>596</v>
      </c>
      <c r="B318">
        <v>2022</v>
      </c>
      <c r="C318" t="s">
        <v>173</v>
      </c>
      <c r="D318" t="s">
        <v>177</v>
      </c>
      <c r="E318" t="s">
        <v>13</v>
      </c>
      <c r="F318">
        <v>210000</v>
      </c>
      <c r="G318" t="s">
        <v>19</v>
      </c>
      <c r="H318">
        <v>210000</v>
      </c>
      <c r="I318" t="s">
        <v>29</v>
      </c>
      <c r="J318">
        <v>100</v>
      </c>
      <c r="K318" t="s">
        <v>29</v>
      </c>
      <c r="L318" t="s">
        <v>170</v>
      </c>
    </row>
    <row r="319" spans="1:12">
      <c r="A319">
        <v>357</v>
      </c>
      <c r="B319">
        <v>2022</v>
      </c>
      <c r="C319" t="s">
        <v>173</v>
      </c>
      <c r="D319" t="s">
        <v>177</v>
      </c>
      <c r="E319" t="s">
        <v>13</v>
      </c>
      <c r="F319">
        <v>211500</v>
      </c>
      <c r="G319" t="s">
        <v>19</v>
      </c>
      <c r="H319">
        <v>211500</v>
      </c>
      <c r="I319" t="s">
        <v>29</v>
      </c>
      <c r="J319">
        <v>100</v>
      </c>
      <c r="K319" t="s">
        <v>29</v>
      </c>
      <c r="L319" t="s">
        <v>170</v>
      </c>
    </row>
    <row r="320" spans="1:12">
      <c r="A320">
        <v>535</v>
      </c>
      <c r="B320">
        <v>2022</v>
      </c>
      <c r="C320" t="s">
        <v>173</v>
      </c>
      <c r="D320" t="s">
        <v>177</v>
      </c>
      <c r="E320" t="s">
        <v>109</v>
      </c>
      <c r="F320">
        <v>213120</v>
      </c>
      <c r="G320" t="s">
        <v>19</v>
      </c>
      <c r="H320">
        <v>213120</v>
      </c>
      <c r="I320" t="s">
        <v>29</v>
      </c>
      <c r="J320">
        <v>100</v>
      </c>
      <c r="K320" t="s">
        <v>29</v>
      </c>
      <c r="L320" t="s">
        <v>170</v>
      </c>
    </row>
    <row r="321" spans="1:12">
      <c r="A321">
        <v>532</v>
      </c>
      <c r="B321">
        <v>2022</v>
      </c>
      <c r="C321" t="s">
        <v>173</v>
      </c>
      <c r="D321" t="s">
        <v>177</v>
      </c>
      <c r="E321" t="s">
        <v>28</v>
      </c>
      <c r="F321">
        <v>214000</v>
      </c>
      <c r="G321" t="s">
        <v>19</v>
      </c>
      <c r="H321">
        <v>214000</v>
      </c>
      <c r="I321" t="s">
        <v>29</v>
      </c>
      <c r="J321">
        <v>100</v>
      </c>
      <c r="K321" t="s">
        <v>29</v>
      </c>
      <c r="L321" t="s">
        <v>170</v>
      </c>
    </row>
    <row r="322" spans="1:12">
      <c r="A322">
        <v>398</v>
      </c>
      <c r="B322">
        <v>2022</v>
      </c>
      <c r="C322" t="s">
        <v>173</v>
      </c>
      <c r="D322" t="s">
        <v>177</v>
      </c>
      <c r="E322" t="s">
        <v>13</v>
      </c>
      <c r="F322">
        <v>215300</v>
      </c>
      <c r="G322" t="s">
        <v>19</v>
      </c>
      <c r="H322">
        <v>215300</v>
      </c>
      <c r="I322" t="s">
        <v>29</v>
      </c>
      <c r="J322">
        <v>100</v>
      </c>
      <c r="K322" t="s">
        <v>29</v>
      </c>
      <c r="L322" t="s">
        <v>171</v>
      </c>
    </row>
    <row r="323" spans="1:12">
      <c r="A323">
        <v>444</v>
      </c>
      <c r="B323">
        <v>2022</v>
      </c>
      <c r="C323" t="s">
        <v>173</v>
      </c>
      <c r="D323" t="s">
        <v>177</v>
      </c>
      <c r="E323" t="s">
        <v>13</v>
      </c>
      <c r="F323">
        <v>215300</v>
      </c>
      <c r="G323" t="s">
        <v>19</v>
      </c>
      <c r="H323">
        <v>215300</v>
      </c>
      <c r="I323" t="s">
        <v>29</v>
      </c>
      <c r="J323">
        <v>0</v>
      </c>
      <c r="K323" t="s">
        <v>29</v>
      </c>
      <c r="L323" t="s">
        <v>171</v>
      </c>
    </row>
    <row r="324" spans="1:12">
      <c r="A324">
        <v>483</v>
      </c>
      <c r="B324">
        <v>2022</v>
      </c>
      <c r="C324" t="s">
        <v>165</v>
      </c>
      <c r="D324" t="s">
        <v>177</v>
      </c>
      <c r="E324" t="s">
        <v>43</v>
      </c>
      <c r="F324">
        <v>216000</v>
      </c>
      <c r="G324" t="s">
        <v>19</v>
      </c>
      <c r="H324">
        <v>216000</v>
      </c>
      <c r="I324" t="s">
        <v>29</v>
      </c>
      <c r="J324">
        <v>100</v>
      </c>
      <c r="K324" t="s">
        <v>29</v>
      </c>
      <c r="L324" t="s">
        <v>170</v>
      </c>
    </row>
    <row r="325" spans="1:12">
      <c r="A325">
        <v>138</v>
      </c>
      <c r="B325">
        <v>2021</v>
      </c>
      <c r="C325" t="s">
        <v>173</v>
      </c>
      <c r="D325" t="s">
        <v>177</v>
      </c>
      <c r="E325" t="s">
        <v>76</v>
      </c>
      <c r="F325">
        <v>220000</v>
      </c>
      <c r="G325" t="s">
        <v>19</v>
      </c>
      <c r="H325">
        <v>220000</v>
      </c>
      <c r="I325" t="s">
        <v>29</v>
      </c>
      <c r="J325">
        <v>0</v>
      </c>
      <c r="K325" t="s">
        <v>29</v>
      </c>
      <c r="L325" t="s">
        <v>171</v>
      </c>
    </row>
    <row r="326" spans="1:12">
      <c r="A326">
        <v>472</v>
      </c>
      <c r="B326">
        <v>2022</v>
      </c>
      <c r="C326" t="s">
        <v>173</v>
      </c>
      <c r="D326" t="s">
        <v>177</v>
      </c>
      <c r="E326" t="s">
        <v>13</v>
      </c>
      <c r="F326">
        <v>220000</v>
      </c>
      <c r="G326" t="s">
        <v>19</v>
      </c>
      <c r="H326">
        <v>220000</v>
      </c>
      <c r="I326" t="s">
        <v>29</v>
      </c>
      <c r="J326">
        <v>100</v>
      </c>
      <c r="K326" t="s">
        <v>29</v>
      </c>
      <c r="L326" t="s">
        <v>170</v>
      </c>
    </row>
    <row r="327" spans="1:12">
      <c r="A327">
        <v>477</v>
      </c>
      <c r="B327">
        <v>2022</v>
      </c>
      <c r="C327" t="s">
        <v>173</v>
      </c>
      <c r="D327" t="s">
        <v>177</v>
      </c>
      <c r="E327" t="s">
        <v>28</v>
      </c>
      <c r="F327">
        <v>220000</v>
      </c>
      <c r="G327" t="s">
        <v>19</v>
      </c>
      <c r="H327">
        <v>220000</v>
      </c>
      <c r="I327" t="s">
        <v>29</v>
      </c>
      <c r="J327">
        <v>100</v>
      </c>
      <c r="K327" t="s">
        <v>29</v>
      </c>
      <c r="L327" t="s">
        <v>170</v>
      </c>
    </row>
    <row r="328" spans="1:12">
      <c r="A328">
        <v>321</v>
      </c>
      <c r="B328">
        <v>2022</v>
      </c>
      <c r="C328" t="s">
        <v>173</v>
      </c>
      <c r="D328" t="s">
        <v>177</v>
      </c>
      <c r="E328" t="s">
        <v>43</v>
      </c>
      <c r="F328">
        <v>220110</v>
      </c>
      <c r="G328" t="s">
        <v>19</v>
      </c>
      <c r="H328">
        <v>220110</v>
      </c>
      <c r="I328" t="s">
        <v>29</v>
      </c>
      <c r="J328">
        <v>0</v>
      </c>
      <c r="K328" t="s">
        <v>29</v>
      </c>
      <c r="L328" t="s">
        <v>170</v>
      </c>
    </row>
    <row r="329" spans="1:12">
      <c r="A329">
        <v>582</v>
      </c>
      <c r="B329">
        <v>2022</v>
      </c>
      <c r="C329" t="s">
        <v>173</v>
      </c>
      <c r="D329" t="s">
        <v>177</v>
      </c>
      <c r="E329" t="s">
        <v>43</v>
      </c>
      <c r="F329">
        <v>220110</v>
      </c>
      <c r="G329" t="s">
        <v>19</v>
      </c>
      <c r="H329">
        <v>220110</v>
      </c>
      <c r="I329" t="s">
        <v>29</v>
      </c>
      <c r="J329">
        <v>100</v>
      </c>
      <c r="K329" t="s">
        <v>29</v>
      </c>
      <c r="L329" t="s">
        <v>170</v>
      </c>
    </row>
    <row r="330" spans="1:12">
      <c r="A330">
        <v>342</v>
      </c>
      <c r="B330">
        <v>2022</v>
      </c>
      <c r="C330" t="s">
        <v>165</v>
      </c>
      <c r="D330" t="s">
        <v>177</v>
      </c>
      <c r="E330" t="s">
        <v>106</v>
      </c>
      <c r="F330">
        <v>224000</v>
      </c>
      <c r="G330" t="s">
        <v>19</v>
      </c>
      <c r="H330">
        <v>224000</v>
      </c>
      <c r="I330" t="s">
        <v>29</v>
      </c>
      <c r="J330">
        <v>100</v>
      </c>
      <c r="K330" t="s">
        <v>29</v>
      </c>
      <c r="L330" t="s">
        <v>170</v>
      </c>
    </row>
    <row r="331" spans="1:12">
      <c r="A331">
        <v>115</v>
      </c>
      <c r="B331">
        <v>2021</v>
      </c>
      <c r="C331" t="s">
        <v>163</v>
      </c>
      <c r="D331" t="s">
        <v>177</v>
      </c>
      <c r="E331" t="s">
        <v>18</v>
      </c>
      <c r="F331">
        <v>225000</v>
      </c>
      <c r="G331" t="s">
        <v>19</v>
      </c>
      <c r="H331">
        <v>225000</v>
      </c>
      <c r="I331" t="s">
        <v>29</v>
      </c>
      <c r="J331">
        <v>100</v>
      </c>
      <c r="K331" t="s">
        <v>29</v>
      </c>
      <c r="L331" t="s">
        <v>171</v>
      </c>
    </row>
    <row r="332" spans="1:12">
      <c r="A332">
        <v>486</v>
      </c>
      <c r="B332">
        <v>2022</v>
      </c>
      <c r="C332" t="s">
        <v>173</v>
      </c>
      <c r="D332" t="s">
        <v>177</v>
      </c>
      <c r="E332" t="s">
        <v>13</v>
      </c>
      <c r="F332">
        <v>230000</v>
      </c>
      <c r="G332" t="s">
        <v>19</v>
      </c>
      <c r="H332">
        <v>230000</v>
      </c>
      <c r="I332" t="s">
        <v>29</v>
      </c>
      <c r="J332">
        <v>100</v>
      </c>
      <c r="K332" t="s">
        <v>29</v>
      </c>
      <c r="L332" t="s">
        <v>170</v>
      </c>
    </row>
    <row r="333" spans="1:12">
      <c r="A333">
        <v>592</v>
      </c>
      <c r="B333">
        <v>2022</v>
      </c>
      <c r="C333" t="s">
        <v>173</v>
      </c>
      <c r="D333" t="s">
        <v>177</v>
      </c>
      <c r="E333" t="s">
        <v>13</v>
      </c>
      <c r="F333">
        <v>230000</v>
      </c>
      <c r="G333" t="s">
        <v>19</v>
      </c>
      <c r="H333">
        <v>230000</v>
      </c>
      <c r="I333" t="s">
        <v>29</v>
      </c>
      <c r="J333">
        <v>100</v>
      </c>
      <c r="K333" t="s">
        <v>29</v>
      </c>
      <c r="L333" t="s">
        <v>170</v>
      </c>
    </row>
    <row r="334" spans="1:12">
      <c r="A334">
        <v>173</v>
      </c>
      <c r="B334">
        <v>2021</v>
      </c>
      <c r="C334" t="s">
        <v>173</v>
      </c>
      <c r="D334" t="s">
        <v>177</v>
      </c>
      <c r="E334" t="s">
        <v>76</v>
      </c>
      <c r="F334">
        <v>235000</v>
      </c>
      <c r="G334" t="s">
        <v>19</v>
      </c>
      <c r="H334">
        <v>235000</v>
      </c>
      <c r="I334" t="s">
        <v>29</v>
      </c>
      <c r="J334">
        <v>100</v>
      </c>
      <c r="K334" t="s">
        <v>29</v>
      </c>
      <c r="L334" t="s">
        <v>171</v>
      </c>
    </row>
    <row r="335" spans="1:12">
      <c r="A335">
        <v>74</v>
      </c>
      <c r="B335">
        <v>2021</v>
      </c>
      <c r="C335" t="s">
        <v>165</v>
      </c>
      <c r="D335" t="s">
        <v>177</v>
      </c>
      <c r="E335" t="s">
        <v>81</v>
      </c>
      <c r="F335">
        <v>235000</v>
      </c>
      <c r="G335" t="s">
        <v>19</v>
      </c>
      <c r="H335">
        <v>235000</v>
      </c>
      <c r="I335" t="s">
        <v>29</v>
      </c>
      <c r="J335">
        <v>100</v>
      </c>
      <c r="K335" t="s">
        <v>29</v>
      </c>
      <c r="L335" t="s">
        <v>171</v>
      </c>
    </row>
    <row r="336" spans="1:12">
      <c r="A336">
        <v>141</v>
      </c>
      <c r="B336">
        <v>2021</v>
      </c>
      <c r="C336" t="s">
        <v>173</v>
      </c>
      <c r="D336" t="s">
        <v>177</v>
      </c>
      <c r="E336" t="s">
        <v>79</v>
      </c>
      <c r="F336">
        <v>240000</v>
      </c>
      <c r="G336" t="s">
        <v>19</v>
      </c>
      <c r="H336">
        <v>240000</v>
      </c>
      <c r="I336" t="s">
        <v>29</v>
      </c>
      <c r="J336">
        <v>0</v>
      </c>
      <c r="K336" t="s">
        <v>29</v>
      </c>
      <c r="L336" t="s">
        <v>171</v>
      </c>
    </row>
    <row r="337" spans="1:12">
      <c r="A337">
        <v>421</v>
      </c>
      <c r="B337">
        <v>2022</v>
      </c>
      <c r="C337" t="s">
        <v>164</v>
      </c>
      <c r="D337" t="s">
        <v>177</v>
      </c>
      <c r="E337" t="s">
        <v>79</v>
      </c>
      <c r="F337">
        <v>241000</v>
      </c>
      <c r="G337" t="s">
        <v>19</v>
      </c>
      <c r="H337">
        <v>241000</v>
      </c>
      <c r="I337" t="s">
        <v>29</v>
      </c>
      <c r="J337">
        <v>100</v>
      </c>
      <c r="K337" t="s">
        <v>29</v>
      </c>
      <c r="L337" t="s">
        <v>170</v>
      </c>
    </row>
    <row r="338" spans="1:12">
      <c r="A338">
        <v>309</v>
      </c>
      <c r="B338">
        <v>2022</v>
      </c>
      <c r="C338" t="s">
        <v>165</v>
      </c>
      <c r="D338" t="s">
        <v>177</v>
      </c>
      <c r="E338" t="s">
        <v>43</v>
      </c>
      <c r="F338">
        <v>242000</v>
      </c>
      <c r="G338" t="s">
        <v>19</v>
      </c>
      <c r="H338">
        <v>242000</v>
      </c>
      <c r="I338" t="s">
        <v>29</v>
      </c>
      <c r="J338">
        <v>100</v>
      </c>
      <c r="K338" t="s">
        <v>29</v>
      </c>
      <c r="L338" t="s">
        <v>170</v>
      </c>
    </row>
    <row r="339" spans="1:12">
      <c r="A339">
        <v>337</v>
      </c>
      <c r="B339">
        <v>2022</v>
      </c>
      <c r="C339" t="s">
        <v>173</v>
      </c>
      <c r="D339" t="s">
        <v>177</v>
      </c>
      <c r="E339" t="s">
        <v>43</v>
      </c>
      <c r="F339">
        <v>243900</v>
      </c>
      <c r="G339" t="s">
        <v>19</v>
      </c>
      <c r="H339">
        <v>243900</v>
      </c>
      <c r="I339" t="s">
        <v>29</v>
      </c>
      <c r="J339">
        <v>100</v>
      </c>
      <c r="K339" t="s">
        <v>29</v>
      </c>
      <c r="L339" t="s">
        <v>170</v>
      </c>
    </row>
    <row r="340" spans="1:12">
      <c r="A340">
        <v>37</v>
      </c>
      <c r="B340">
        <v>2020</v>
      </c>
      <c r="C340" t="s">
        <v>163</v>
      </c>
      <c r="D340" t="s">
        <v>177</v>
      </c>
      <c r="E340" t="s">
        <v>28</v>
      </c>
      <c r="F340">
        <v>250000</v>
      </c>
      <c r="G340" t="s">
        <v>19</v>
      </c>
      <c r="H340">
        <v>250000</v>
      </c>
      <c r="I340" t="s">
        <v>29</v>
      </c>
      <c r="J340">
        <v>50</v>
      </c>
      <c r="K340" t="s">
        <v>29</v>
      </c>
      <c r="L340" t="s">
        <v>171</v>
      </c>
    </row>
    <row r="341" spans="1:12">
      <c r="A341">
        <v>167</v>
      </c>
      <c r="B341">
        <v>2021</v>
      </c>
      <c r="C341" t="s">
        <v>165</v>
      </c>
      <c r="D341" t="s">
        <v>177</v>
      </c>
      <c r="E341" t="s">
        <v>54</v>
      </c>
      <c r="F341">
        <v>250000</v>
      </c>
      <c r="G341" t="s">
        <v>19</v>
      </c>
      <c r="H341">
        <v>250000</v>
      </c>
      <c r="I341" t="s">
        <v>29</v>
      </c>
      <c r="J341">
        <v>0</v>
      </c>
      <c r="K341" t="s">
        <v>29</v>
      </c>
      <c r="L341" t="s">
        <v>171</v>
      </c>
    </row>
    <row r="342" spans="1:12">
      <c r="A342">
        <v>231</v>
      </c>
      <c r="B342">
        <v>2021</v>
      </c>
      <c r="C342" t="s">
        <v>173</v>
      </c>
      <c r="D342" t="s">
        <v>177</v>
      </c>
      <c r="E342" t="s">
        <v>69</v>
      </c>
      <c r="F342">
        <v>256000</v>
      </c>
      <c r="G342" t="s">
        <v>19</v>
      </c>
      <c r="H342">
        <v>256000</v>
      </c>
      <c r="I342" t="s">
        <v>29</v>
      </c>
      <c r="J342">
        <v>100</v>
      </c>
      <c r="K342" t="s">
        <v>29</v>
      </c>
      <c r="L342" t="s">
        <v>169</v>
      </c>
    </row>
    <row r="343" spans="1:12">
      <c r="A343">
        <v>416</v>
      </c>
      <c r="B343">
        <v>2022</v>
      </c>
      <c r="C343" t="s">
        <v>173</v>
      </c>
      <c r="D343" t="s">
        <v>177</v>
      </c>
      <c r="E343" t="s">
        <v>13</v>
      </c>
      <c r="F343">
        <v>260000</v>
      </c>
      <c r="G343" t="s">
        <v>19</v>
      </c>
      <c r="H343">
        <v>260000</v>
      </c>
      <c r="I343" t="s">
        <v>29</v>
      </c>
      <c r="J343">
        <v>100</v>
      </c>
      <c r="K343" t="s">
        <v>29</v>
      </c>
      <c r="L343" t="s">
        <v>170</v>
      </c>
    </row>
    <row r="344" spans="1:12">
      <c r="A344">
        <v>534</v>
      </c>
      <c r="B344">
        <v>2022</v>
      </c>
      <c r="C344" t="s">
        <v>173</v>
      </c>
      <c r="D344" t="s">
        <v>177</v>
      </c>
      <c r="E344" t="s">
        <v>109</v>
      </c>
      <c r="F344">
        <v>266400</v>
      </c>
      <c r="G344" t="s">
        <v>19</v>
      </c>
      <c r="H344">
        <v>266400</v>
      </c>
      <c r="I344" t="s">
        <v>29</v>
      </c>
      <c r="J344">
        <v>100</v>
      </c>
      <c r="K344" t="s">
        <v>29</v>
      </c>
      <c r="L344" t="s">
        <v>170</v>
      </c>
    </row>
    <row r="345" spans="1:12">
      <c r="A345">
        <v>78</v>
      </c>
      <c r="B345">
        <v>2021</v>
      </c>
      <c r="C345" t="s">
        <v>164</v>
      </c>
      <c r="D345" t="s">
        <v>178</v>
      </c>
      <c r="E345" t="s">
        <v>69</v>
      </c>
      <c r="F345">
        <v>270000</v>
      </c>
      <c r="G345" t="s">
        <v>19</v>
      </c>
      <c r="H345">
        <v>270000</v>
      </c>
      <c r="I345" t="s">
        <v>29</v>
      </c>
      <c r="J345">
        <v>100</v>
      </c>
      <c r="K345" t="s">
        <v>29</v>
      </c>
      <c r="L345" t="s">
        <v>171</v>
      </c>
    </row>
    <row r="346" spans="1:12">
      <c r="A346">
        <v>93</v>
      </c>
      <c r="B346">
        <v>2021</v>
      </c>
      <c r="C346" t="s">
        <v>173</v>
      </c>
      <c r="D346" t="s">
        <v>177</v>
      </c>
      <c r="E346" t="s">
        <v>36</v>
      </c>
      <c r="F346">
        <v>276000</v>
      </c>
      <c r="G346" t="s">
        <v>19</v>
      </c>
      <c r="H346">
        <v>276000</v>
      </c>
      <c r="I346" t="s">
        <v>29</v>
      </c>
      <c r="J346">
        <v>0</v>
      </c>
      <c r="K346" t="s">
        <v>29</v>
      </c>
      <c r="L346" t="s">
        <v>171</v>
      </c>
    </row>
    <row r="347" spans="1:12">
      <c r="A347">
        <v>482</v>
      </c>
      <c r="B347">
        <v>2022</v>
      </c>
      <c r="C347" t="s">
        <v>165</v>
      </c>
      <c r="D347" t="s">
        <v>177</v>
      </c>
      <c r="E347" t="s">
        <v>43</v>
      </c>
      <c r="F347">
        <v>324000</v>
      </c>
      <c r="G347" t="s">
        <v>19</v>
      </c>
      <c r="H347">
        <v>324000</v>
      </c>
      <c r="I347" t="s">
        <v>29</v>
      </c>
      <c r="J347">
        <v>100</v>
      </c>
      <c r="K347" t="s">
        <v>29</v>
      </c>
      <c r="L347" t="s">
        <v>170</v>
      </c>
    </row>
    <row r="348" spans="1:12">
      <c r="A348">
        <v>25</v>
      </c>
      <c r="B348">
        <v>2020</v>
      </c>
      <c r="C348" t="s">
        <v>165</v>
      </c>
      <c r="D348" t="s">
        <v>177</v>
      </c>
      <c r="E348" t="s">
        <v>54</v>
      </c>
      <c r="F348">
        <v>325000</v>
      </c>
      <c r="G348" t="s">
        <v>19</v>
      </c>
      <c r="H348">
        <v>325000</v>
      </c>
      <c r="I348" t="s">
        <v>29</v>
      </c>
      <c r="J348">
        <v>100</v>
      </c>
      <c r="K348" t="s">
        <v>29</v>
      </c>
      <c r="L348" t="s">
        <v>171</v>
      </c>
    </row>
    <row r="349" spans="1:12">
      <c r="A349">
        <v>519</v>
      </c>
      <c r="B349">
        <v>2022</v>
      </c>
      <c r="C349" t="s">
        <v>173</v>
      </c>
      <c r="D349" t="s">
        <v>177</v>
      </c>
      <c r="E349" t="s">
        <v>84</v>
      </c>
      <c r="F349">
        <v>380000</v>
      </c>
      <c r="G349" t="s">
        <v>19</v>
      </c>
      <c r="H349">
        <v>380000</v>
      </c>
      <c r="I349" t="s">
        <v>29</v>
      </c>
      <c r="J349">
        <v>100</v>
      </c>
      <c r="K349" t="s">
        <v>29</v>
      </c>
      <c r="L349" t="s">
        <v>171</v>
      </c>
    </row>
    <row r="350" spans="1:12">
      <c r="A350">
        <v>523</v>
      </c>
      <c r="B350">
        <v>2022</v>
      </c>
      <c r="C350" t="s">
        <v>173</v>
      </c>
      <c r="D350" t="s">
        <v>177</v>
      </c>
      <c r="E350" t="s">
        <v>146</v>
      </c>
      <c r="F350">
        <v>405000</v>
      </c>
      <c r="G350" t="s">
        <v>19</v>
      </c>
      <c r="H350">
        <v>405000</v>
      </c>
      <c r="I350" t="s">
        <v>29</v>
      </c>
      <c r="J350">
        <v>100</v>
      </c>
      <c r="K350" t="s">
        <v>29</v>
      </c>
      <c r="L350" t="s">
        <v>171</v>
      </c>
    </row>
    <row r="351" spans="1:12">
      <c r="A351">
        <v>63</v>
      </c>
      <c r="B351">
        <v>2020</v>
      </c>
      <c r="C351" t="s">
        <v>173</v>
      </c>
      <c r="D351" t="s">
        <v>177</v>
      </c>
      <c r="E351" t="s">
        <v>13</v>
      </c>
      <c r="F351">
        <v>412000</v>
      </c>
      <c r="G351" t="s">
        <v>19</v>
      </c>
      <c r="H351">
        <v>412000</v>
      </c>
      <c r="I351" t="s">
        <v>29</v>
      </c>
      <c r="J351">
        <v>100</v>
      </c>
      <c r="K351" t="s">
        <v>29</v>
      </c>
      <c r="L351" t="s">
        <v>171</v>
      </c>
    </row>
    <row r="352" spans="1:12">
      <c r="A352">
        <v>225</v>
      </c>
      <c r="B352">
        <v>2021</v>
      </c>
      <c r="C352" t="s">
        <v>165</v>
      </c>
      <c r="D352" t="s">
        <v>178</v>
      </c>
      <c r="E352" t="s">
        <v>76</v>
      </c>
      <c r="F352">
        <v>416000</v>
      </c>
      <c r="G352" t="s">
        <v>19</v>
      </c>
      <c r="H352">
        <v>416000</v>
      </c>
      <c r="I352" t="s">
        <v>29</v>
      </c>
      <c r="J352">
        <v>100</v>
      </c>
      <c r="K352" t="s">
        <v>29</v>
      </c>
      <c r="L352" t="s">
        <v>169</v>
      </c>
    </row>
    <row r="353" spans="1:12">
      <c r="A353">
        <v>157</v>
      </c>
      <c r="B353">
        <v>2021</v>
      </c>
      <c r="C353" t="s">
        <v>164</v>
      </c>
      <c r="D353" t="s">
        <v>177</v>
      </c>
      <c r="E353" t="s">
        <v>100</v>
      </c>
      <c r="F353">
        <v>423000</v>
      </c>
      <c r="G353" t="s">
        <v>19</v>
      </c>
      <c r="H353">
        <v>423000</v>
      </c>
      <c r="I353" t="s">
        <v>29</v>
      </c>
      <c r="J353">
        <v>50</v>
      </c>
      <c r="K353" t="s">
        <v>29</v>
      </c>
      <c r="L353" t="s">
        <v>171</v>
      </c>
    </row>
    <row r="354" spans="1:12">
      <c r="A354">
        <v>33</v>
      </c>
      <c r="B354">
        <v>2020</v>
      </c>
      <c r="C354" t="s">
        <v>164</v>
      </c>
      <c r="D354" t="s">
        <v>177</v>
      </c>
      <c r="E354" t="s">
        <v>55</v>
      </c>
      <c r="F354">
        <v>450000</v>
      </c>
      <c r="G354" t="s">
        <v>19</v>
      </c>
      <c r="H354">
        <v>450000</v>
      </c>
      <c r="I354" t="s">
        <v>29</v>
      </c>
      <c r="J354">
        <v>0</v>
      </c>
      <c r="K354" t="s">
        <v>29</v>
      </c>
      <c r="L354" t="s">
        <v>170</v>
      </c>
    </row>
    <row r="355" spans="1:12">
      <c r="A355">
        <v>97</v>
      </c>
      <c r="B355">
        <v>2021</v>
      </c>
      <c r="C355" t="s">
        <v>164</v>
      </c>
      <c r="D355" t="s">
        <v>177</v>
      </c>
      <c r="E355" t="s">
        <v>92</v>
      </c>
      <c r="F355">
        <v>450000</v>
      </c>
      <c r="G355" t="s">
        <v>19</v>
      </c>
      <c r="H355">
        <v>450000</v>
      </c>
      <c r="I355" t="s">
        <v>29</v>
      </c>
      <c r="J355">
        <v>100</v>
      </c>
      <c r="K355" t="s">
        <v>29</v>
      </c>
      <c r="L355" t="s">
        <v>171</v>
      </c>
    </row>
    <row r="356" spans="1:12">
      <c r="A356">
        <v>252</v>
      </c>
      <c r="B356">
        <v>2021</v>
      </c>
      <c r="C356" t="s">
        <v>165</v>
      </c>
      <c r="D356" t="s">
        <v>177</v>
      </c>
      <c r="E356" t="s">
        <v>97</v>
      </c>
      <c r="F356">
        <v>600000</v>
      </c>
      <c r="G356" t="s">
        <v>19</v>
      </c>
      <c r="H356">
        <v>600000</v>
      </c>
      <c r="I356" t="s">
        <v>29</v>
      </c>
      <c r="J356">
        <v>100</v>
      </c>
      <c r="K356" t="s">
        <v>29</v>
      </c>
      <c r="L356" t="s">
        <v>171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1"/>
  <sheetViews>
    <sheetView topLeftCell="A118" zoomScale="70" zoomScaleNormal="70" workbookViewId="0">
      <selection activeCell="E140" sqref="E140"/>
    </sheetView>
  </sheetViews>
  <sheetFormatPr defaultRowHeight="15"/>
  <cols>
    <col min="1" max="1" width="17.85546875" customWidth="1"/>
    <col min="2" max="2" width="31" customWidth="1"/>
    <col min="3" max="3" width="22.42578125" customWidth="1"/>
    <col min="4" max="4" width="24.42578125" customWidth="1"/>
    <col min="5" max="5" width="38.42578125" bestFit="1" customWidth="1"/>
    <col min="6" max="6" width="21.42578125" customWidth="1"/>
    <col min="7" max="7" width="23.42578125" style="3" bestFit="1" customWidth="1"/>
    <col min="8" max="8" width="41" style="3" bestFit="1" customWidth="1"/>
    <col min="9" max="9" width="23.140625" style="3" bestFit="1" customWidth="1"/>
  </cols>
  <sheetData>
    <row r="2" spans="1:9">
      <c r="A2" s="4" t="s">
        <v>181</v>
      </c>
      <c r="B2" t="s">
        <v>189</v>
      </c>
      <c r="C2" t="s">
        <v>183</v>
      </c>
      <c r="D2" t="s">
        <v>188</v>
      </c>
    </row>
    <row r="3" spans="1:9">
      <c r="A3" s="5" t="s">
        <v>163</v>
      </c>
      <c r="B3" s="8">
        <v>4000</v>
      </c>
      <c r="C3" s="8">
        <v>61643.318181818184</v>
      </c>
      <c r="D3" s="8">
        <v>250000</v>
      </c>
    </row>
    <row r="4" spans="1:9">
      <c r="A4" s="5" t="s">
        <v>164</v>
      </c>
      <c r="B4" s="8">
        <v>2859</v>
      </c>
      <c r="C4" s="8">
        <v>87996.056338028167</v>
      </c>
      <c r="D4" s="8">
        <v>450000</v>
      </c>
    </row>
    <row r="5" spans="1:9">
      <c r="A5" s="5" t="s">
        <v>173</v>
      </c>
      <c r="B5" s="8">
        <v>18907</v>
      </c>
      <c r="C5" s="8">
        <v>138617.29285714286</v>
      </c>
      <c r="D5" s="8">
        <v>412000</v>
      </c>
    </row>
    <row r="6" spans="1:9">
      <c r="A6" s="5" t="s">
        <v>165</v>
      </c>
      <c r="B6" s="8">
        <v>69741</v>
      </c>
      <c r="C6" s="8">
        <v>199392.03846153847</v>
      </c>
      <c r="D6" s="8">
        <v>600000</v>
      </c>
    </row>
    <row r="7" spans="1:9">
      <c r="A7" s="5"/>
      <c r="B7" s="7"/>
    </row>
    <row r="8" spans="1:9">
      <c r="A8" s="5"/>
      <c r="B8" s="7"/>
      <c r="G8"/>
      <c r="H8"/>
      <c r="I8"/>
    </row>
    <row r="9" spans="1:9">
      <c r="G9"/>
      <c r="H9"/>
      <c r="I9"/>
    </row>
    <row r="10" spans="1:9">
      <c r="G10"/>
      <c r="H10"/>
      <c r="I10"/>
    </row>
    <row r="15" spans="1:9">
      <c r="A15" s="3"/>
      <c r="G15"/>
      <c r="H15"/>
      <c r="I15"/>
    </row>
    <row r="16" spans="1:9">
      <c r="A16" s="4" t="s">
        <v>181</v>
      </c>
      <c r="B16" t="s">
        <v>189</v>
      </c>
      <c r="C16" t="s">
        <v>183</v>
      </c>
      <c r="D16" t="s">
        <v>188</v>
      </c>
      <c r="G16"/>
      <c r="H16"/>
      <c r="I16"/>
    </row>
    <row r="17" spans="1:9">
      <c r="A17" s="5" t="s">
        <v>169</v>
      </c>
      <c r="B17" s="8">
        <v>2859</v>
      </c>
      <c r="C17" s="8">
        <v>77632.674698795177</v>
      </c>
      <c r="D17" s="8">
        <v>416000</v>
      </c>
      <c r="G17"/>
      <c r="H17"/>
      <c r="I17"/>
    </row>
    <row r="18" spans="1:9">
      <c r="A18" s="5" t="s">
        <v>170</v>
      </c>
      <c r="B18" s="8">
        <v>4000</v>
      </c>
      <c r="C18" s="8">
        <v>116905.46625766871</v>
      </c>
      <c r="D18" s="8">
        <v>450000</v>
      </c>
      <c r="G18"/>
      <c r="H18"/>
      <c r="I18"/>
    </row>
    <row r="19" spans="1:9">
      <c r="A19" s="5" t="s">
        <v>171</v>
      </c>
      <c r="B19" s="8">
        <v>5882</v>
      </c>
      <c r="C19" s="8">
        <v>119242.99494949495</v>
      </c>
      <c r="D19" s="8">
        <v>600000</v>
      </c>
      <c r="G19"/>
      <c r="H19"/>
      <c r="I19"/>
    </row>
    <row r="20" spans="1:9">
      <c r="G20"/>
      <c r="H20"/>
      <c r="I20"/>
    </row>
    <row r="21" spans="1:9">
      <c r="G21"/>
      <c r="H21"/>
      <c r="I21"/>
    </row>
    <row r="22" spans="1:9">
      <c r="G22"/>
      <c r="H22"/>
      <c r="I22"/>
    </row>
    <row r="23" spans="1:9">
      <c r="A23" s="4" t="s">
        <v>183</v>
      </c>
      <c r="B23" s="4" t="s">
        <v>187</v>
      </c>
      <c r="G23"/>
      <c r="H23"/>
      <c r="I23"/>
    </row>
    <row r="24" spans="1:9">
      <c r="A24" s="4" t="s">
        <v>181</v>
      </c>
      <c r="B24" t="s">
        <v>163</v>
      </c>
      <c r="C24" t="s">
        <v>164</v>
      </c>
      <c r="D24" t="s">
        <v>173</v>
      </c>
      <c r="E24" t="s">
        <v>165</v>
      </c>
      <c r="G24"/>
      <c r="H24"/>
      <c r="I24"/>
    </row>
    <row r="25" spans="1:9">
      <c r="A25" s="5" t="s">
        <v>179</v>
      </c>
      <c r="B25" s="8"/>
      <c r="C25" s="8">
        <v>44000</v>
      </c>
      <c r="D25" s="8">
        <v>60000</v>
      </c>
      <c r="E25" s="8"/>
      <c r="G25"/>
      <c r="H25"/>
      <c r="I25"/>
    </row>
    <row r="26" spans="1:9">
      <c r="A26" s="5" t="s">
        <v>176</v>
      </c>
      <c r="B26" s="8">
        <v>28656.857142857141</v>
      </c>
      <c r="C26" s="8">
        <v>43369</v>
      </c>
      <c r="D26" s="8"/>
      <c r="E26" s="8"/>
      <c r="G26"/>
      <c r="H26"/>
      <c r="I26"/>
    </row>
    <row r="27" spans="1:9">
      <c r="A27" s="5" t="s">
        <v>178</v>
      </c>
      <c r="B27" s="8">
        <v>65937.5</v>
      </c>
      <c r="C27" s="8">
        <v>270000</v>
      </c>
      <c r="D27" s="8">
        <v>105000</v>
      </c>
      <c r="E27" s="8">
        <v>416000</v>
      </c>
      <c r="G27"/>
      <c r="H27"/>
      <c r="I27"/>
    </row>
    <row r="28" spans="1:9">
      <c r="A28" s="5" t="s">
        <v>177</v>
      </c>
      <c r="B28" s="8">
        <v>64457.455696202531</v>
      </c>
      <c r="C28" s="8">
        <v>88403.169902912618</v>
      </c>
      <c r="D28" s="8">
        <v>139021.01438848922</v>
      </c>
      <c r="E28" s="8">
        <v>190727.72</v>
      </c>
    </row>
    <row r="33" spans="1:5">
      <c r="A33" s="5"/>
      <c r="B33" s="6"/>
      <c r="C33" s="6"/>
      <c r="D33" s="6"/>
      <c r="E33" s="6"/>
    </row>
    <row r="34" spans="1:5">
      <c r="A34" s="5"/>
      <c r="B34" s="6"/>
      <c r="C34" s="6"/>
      <c r="D34" s="6"/>
      <c r="E34" s="6"/>
    </row>
    <row r="35" spans="1:5">
      <c r="A35" s="5"/>
      <c r="B35" s="6"/>
      <c r="C35" s="6"/>
      <c r="D35" s="6"/>
      <c r="E35" s="6"/>
    </row>
    <row r="36" spans="1:5">
      <c r="A36" s="5"/>
      <c r="B36" s="6"/>
      <c r="C36" s="6"/>
      <c r="D36" s="6"/>
      <c r="E36" s="6"/>
    </row>
    <row r="37" spans="1:5">
      <c r="A37" t="s">
        <v>190</v>
      </c>
    </row>
    <row r="41" spans="1:5">
      <c r="A41" s="4" t="s">
        <v>181</v>
      </c>
      <c r="B41" t="s">
        <v>189</v>
      </c>
      <c r="C41" t="s">
        <v>183</v>
      </c>
      <c r="D41" t="s">
        <v>188</v>
      </c>
    </row>
    <row r="42" spans="1:5">
      <c r="A42" s="5" t="s">
        <v>179</v>
      </c>
      <c r="B42" s="8">
        <v>20000</v>
      </c>
      <c r="C42" s="8">
        <v>60000</v>
      </c>
      <c r="D42" s="8">
        <v>100000</v>
      </c>
    </row>
    <row r="43" spans="1:5">
      <c r="A43" s="5" t="s">
        <v>176</v>
      </c>
      <c r="B43" s="8">
        <v>12000</v>
      </c>
      <c r="C43" s="8">
        <v>12000</v>
      </c>
      <c r="D43" s="8">
        <v>12000</v>
      </c>
      <c r="E43" t="s">
        <v>191</v>
      </c>
    </row>
    <row r="44" spans="1:5">
      <c r="A44" s="5" t="s">
        <v>178</v>
      </c>
      <c r="B44" s="8">
        <v>100000</v>
      </c>
      <c r="C44" s="8">
        <v>222750</v>
      </c>
      <c r="D44" s="8">
        <v>416000</v>
      </c>
    </row>
    <row r="45" spans="1:5">
      <c r="A45" s="5" t="s">
        <v>177</v>
      </c>
      <c r="B45" s="8">
        <v>5679</v>
      </c>
      <c r="C45" s="8">
        <v>144637.62427745663</v>
      </c>
      <c r="D45" s="8">
        <v>600000</v>
      </c>
    </row>
    <row r="48" spans="1:5">
      <c r="A48" s="4" t="s">
        <v>181</v>
      </c>
      <c r="B48" t="s">
        <v>189</v>
      </c>
      <c r="C48" t="s">
        <v>183</v>
      </c>
      <c r="D48" t="s">
        <v>188</v>
      </c>
    </row>
    <row r="49" spans="1:5">
      <c r="A49" s="5" t="s">
        <v>163</v>
      </c>
      <c r="B49" s="8">
        <v>12000</v>
      </c>
      <c r="C49" s="8">
        <v>93112.903225806454</v>
      </c>
      <c r="D49" s="8">
        <v>250000</v>
      </c>
    </row>
    <row r="50" spans="1:5">
      <c r="A50" s="5" t="s">
        <v>173</v>
      </c>
      <c r="B50" s="8">
        <v>25000</v>
      </c>
      <c r="C50" s="8">
        <v>151527.63302752294</v>
      </c>
      <c r="D50" s="8">
        <v>412000</v>
      </c>
    </row>
    <row r="51" spans="1:5">
      <c r="A51" s="5" t="s">
        <v>164</v>
      </c>
      <c r="B51" s="8">
        <v>5679</v>
      </c>
      <c r="C51" s="8">
        <v>125780.21111111112</v>
      </c>
      <c r="D51" s="8">
        <v>450000</v>
      </c>
    </row>
    <row r="52" spans="1:5">
      <c r="A52" s="5" t="s">
        <v>165</v>
      </c>
      <c r="B52" s="8">
        <v>110000</v>
      </c>
      <c r="C52" s="8">
        <v>243742.1875</v>
      </c>
      <c r="D52" s="8">
        <v>600000</v>
      </c>
    </row>
    <row r="55" spans="1:5">
      <c r="A55" s="4" t="s">
        <v>183</v>
      </c>
      <c r="B55" s="4" t="s">
        <v>187</v>
      </c>
    </row>
    <row r="56" spans="1:5">
      <c r="A56" s="4" t="s">
        <v>181</v>
      </c>
      <c r="B56" t="s">
        <v>163</v>
      </c>
      <c r="C56" t="s">
        <v>173</v>
      </c>
      <c r="D56" t="s">
        <v>164</v>
      </c>
      <c r="E56" t="s">
        <v>165</v>
      </c>
    </row>
    <row r="57" spans="1:5">
      <c r="A57" s="5" t="s">
        <v>179</v>
      </c>
      <c r="B57" s="8"/>
      <c r="C57" s="8">
        <v>60000</v>
      </c>
      <c r="D57" s="8">
        <v>60000</v>
      </c>
      <c r="E57" s="8"/>
    </row>
    <row r="58" spans="1:5">
      <c r="A58" s="5" t="s">
        <v>176</v>
      </c>
      <c r="B58" s="8">
        <v>12000</v>
      </c>
      <c r="C58" s="8"/>
      <c r="D58" s="8"/>
      <c r="E58" s="8"/>
    </row>
    <row r="59" spans="1:5">
      <c r="A59" s="5" t="s">
        <v>178</v>
      </c>
      <c r="B59" s="8">
        <v>100000</v>
      </c>
      <c r="C59" s="8">
        <v>105000</v>
      </c>
      <c r="D59" s="8">
        <v>270000</v>
      </c>
      <c r="E59" s="8">
        <v>416000</v>
      </c>
    </row>
    <row r="60" spans="1:5">
      <c r="A60" s="5" t="s">
        <v>177</v>
      </c>
      <c r="B60" s="8">
        <v>98660.71428571429</v>
      </c>
      <c r="C60" s="8">
        <v>152166.77777777778</v>
      </c>
      <c r="D60" s="8">
        <v>125634.70114942528</v>
      </c>
      <c r="E60" s="8">
        <v>232258.33333333334</v>
      </c>
    </row>
    <row r="68" spans="1:3">
      <c r="A68" t="s">
        <v>197</v>
      </c>
      <c r="B68" t="s">
        <v>192</v>
      </c>
      <c r="C68" t="s">
        <v>196</v>
      </c>
    </row>
    <row r="69" spans="1:3">
      <c r="A69" t="s">
        <v>194</v>
      </c>
      <c r="B69" s="9">
        <v>2859</v>
      </c>
      <c r="C69" s="9">
        <v>5679</v>
      </c>
    </row>
    <row r="70" spans="1:3">
      <c r="A70" t="s">
        <v>193</v>
      </c>
      <c r="B70" s="9">
        <v>112297.86985172982</v>
      </c>
      <c r="C70" s="9">
        <v>144055.26197183097</v>
      </c>
    </row>
    <row r="71" spans="1:3">
      <c r="A71" t="s">
        <v>195</v>
      </c>
      <c r="B71" s="9">
        <v>600000</v>
      </c>
      <c r="C71" s="9">
        <v>600000</v>
      </c>
    </row>
    <row r="81" spans="1:9">
      <c r="A81" s="4" t="s">
        <v>181</v>
      </c>
      <c r="B81" t="s">
        <v>183</v>
      </c>
      <c r="E81" s="4" t="s">
        <v>181</v>
      </c>
      <c r="F81" t="s">
        <v>198</v>
      </c>
      <c r="H81" s="3" t="s">
        <v>200</v>
      </c>
      <c r="I81" s="3" t="s">
        <v>201</v>
      </c>
    </row>
    <row r="82" spans="1:9">
      <c r="A82" s="5" t="s">
        <v>135</v>
      </c>
      <c r="B82" s="8">
        <v>37236</v>
      </c>
      <c r="E82" s="5" t="s">
        <v>43</v>
      </c>
      <c r="F82" s="8">
        <v>85</v>
      </c>
      <c r="H82" s="3" t="s">
        <v>43</v>
      </c>
      <c r="I82" s="3">
        <v>85</v>
      </c>
    </row>
    <row r="83" spans="1:9">
      <c r="A83" s="5" t="s">
        <v>22</v>
      </c>
      <c r="B83" s="8">
        <v>70000</v>
      </c>
      <c r="E83" s="5" t="s">
        <v>13</v>
      </c>
      <c r="F83" s="8">
        <v>84</v>
      </c>
      <c r="H83" s="3" t="s">
        <v>13</v>
      </c>
      <c r="I83" s="3">
        <v>84</v>
      </c>
    </row>
    <row r="84" spans="1:9">
      <c r="A84" s="5" t="s">
        <v>93</v>
      </c>
      <c r="B84" s="8">
        <v>82873</v>
      </c>
      <c r="E84" s="5" t="s">
        <v>31</v>
      </c>
      <c r="F84" s="8">
        <v>71</v>
      </c>
      <c r="H84" s="3" t="s">
        <v>31</v>
      </c>
      <c r="I84" s="3">
        <v>71</v>
      </c>
    </row>
    <row r="85" spans="1:9">
      <c r="A85" s="5" t="s">
        <v>70</v>
      </c>
      <c r="B85" s="8">
        <v>86000</v>
      </c>
      <c r="E85" s="5" t="s">
        <v>28</v>
      </c>
      <c r="F85" s="8">
        <v>16</v>
      </c>
      <c r="H85" s="3" t="s">
        <v>28</v>
      </c>
      <c r="I85" s="3">
        <v>16</v>
      </c>
    </row>
    <row r="86" spans="1:9">
      <c r="A86" s="5" t="s">
        <v>51</v>
      </c>
      <c r="B86" s="8">
        <v>87851.8</v>
      </c>
      <c r="E86" s="5" t="s">
        <v>79</v>
      </c>
      <c r="F86" s="8">
        <v>10</v>
      </c>
      <c r="H86" s="3" t="s">
        <v>79</v>
      </c>
      <c r="I86" s="3">
        <v>10</v>
      </c>
    </row>
    <row r="87" spans="1:9">
      <c r="A87" s="5" t="s">
        <v>74</v>
      </c>
      <c r="B87" s="8">
        <v>92500</v>
      </c>
      <c r="E87" s="5" t="s">
        <v>109</v>
      </c>
      <c r="F87" s="8">
        <v>9</v>
      </c>
      <c r="H87" s="3" t="s">
        <v>109</v>
      </c>
      <c r="I87" s="3">
        <v>9</v>
      </c>
    </row>
    <row r="88" spans="1:9">
      <c r="A88" s="5" t="s">
        <v>46</v>
      </c>
      <c r="B88" s="8">
        <v>96500</v>
      </c>
      <c r="E88" s="5" t="s">
        <v>105</v>
      </c>
      <c r="F88" s="8">
        <v>7</v>
      </c>
      <c r="H88" s="3" t="s">
        <v>199</v>
      </c>
      <c r="I88" s="3">
        <v>80</v>
      </c>
    </row>
    <row r="89" spans="1:9">
      <c r="A89" s="5" t="s">
        <v>129</v>
      </c>
      <c r="B89" s="8">
        <v>105000</v>
      </c>
      <c r="E89" s="5" t="s">
        <v>18</v>
      </c>
      <c r="F89" s="8">
        <v>5</v>
      </c>
    </row>
    <row r="90" spans="1:9">
      <c r="A90" s="5" t="s">
        <v>31</v>
      </c>
      <c r="B90" s="8">
        <v>107674.15492957746</v>
      </c>
      <c r="E90" s="5" t="s">
        <v>51</v>
      </c>
      <c r="F90" s="8">
        <v>5</v>
      </c>
    </row>
    <row r="91" spans="1:9">
      <c r="A91" s="5" t="s">
        <v>83</v>
      </c>
      <c r="B91" s="8">
        <v>110000</v>
      </c>
      <c r="E91" s="5" t="s">
        <v>131</v>
      </c>
      <c r="F91" s="8">
        <v>4</v>
      </c>
    </row>
    <row r="92" spans="1:9">
      <c r="A92" s="5" t="s">
        <v>35</v>
      </c>
      <c r="B92" s="8">
        <v>117500</v>
      </c>
      <c r="E92" s="5" t="s">
        <v>76</v>
      </c>
      <c r="F92" s="8">
        <v>4</v>
      </c>
    </row>
    <row r="93" spans="1:9">
      <c r="A93" s="5" t="s">
        <v>105</v>
      </c>
      <c r="B93" s="8">
        <v>127134.28571428571</v>
      </c>
      <c r="E93" s="5" t="s">
        <v>55</v>
      </c>
      <c r="F93" s="8">
        <v>4</v>
      </c>
    </row>
    <row r="94" spans="1:9">
      <c r="A94" s="5" t="s">
        <v>41</v>
      </c>
      <c r="B94" s="8">
        <v>128500</v>
      </c>
      <c r="E94" s="5" t="s">
        <v>70</v>
      </c>
      <c r="F94" s="8">
        <v>4</v>
      </c>
    </row>
    <row r="95" spans="1:9">
      <c r="A95" s="5" t="s">
        <v>43</v>
      </c>
      <c r="B95" s="8">
        <v>139724.68235294116</v>
      </c>
      <c r="E95" s="5" t="s">
        <v>36</v>
      </c>
      <c r="F95" s="8">
        <v>3</v>
      </c>
    </row>
    <row r="96" spans="1:9">
      <c r="A96" s="5" t="s">
        <v>13</v>
      </c>
      <c r="B96" s="8">
        <v>143115.67857142858</v>
      </c>
      <c r="E96" s="5" t="s">
        <v>97</v>
      </c>
      <c r="F96" s="8">
        <v>3</v>
      </c>
    </row>
    <row r="97" spans="1:6">
      <c r="A97" s="5" t="s">
        <v>18</v>
      </c>
      <c r="B97" s="8">
        <v>154060</v>
      </c>
      <c r="E97" s="5" t="s">
        <v>100</v>
      </c>
      <c r="F97" s="8">
        <v>3</v>
      </c>
    </row>
    <row r="98" spans="1:6">
      <c r="A98" s="5" t="s">
        <v>63</v>
      </c>
      <c r="B98" s="8">
        <v>159000</v>
      </c>
      <c r="E98" s="5" t="s">
        <v>63</v>
      </c>
      <c r="F98" s="8">
        <v>3</v>
      </c>
    </row>
    <row r="99" spans="1:6">
      <c r="A99" s="5" t="s">
        <v>88</v>
      </c>
      <c r="B99" s="8">
        <v>160000</v>
      </c>
      <c r="E99" s="5" t="s">
        <v>84</v>
      </c>
      <c r="F99" s="8">
        <v>3</v>
      </c>
    </row>
    <row r="100" spans="1:6">
      <c r="A100" s="5" t="s">
        <v>36</v>
      </c>
      <c r="B100" s="8">
        <v>164000</v>
      </c>
      <c r="E100" s="5" t="s">
        <v>106</v>
      </c>
      <c r="F100" s="8">
        <v>3</v>
      </c>
    </row>
    <row r="101" spans="1:6">
      <c r="A101" s="5" t="s">
        <v>108</v>
      </c>
      <c r="B101" s="8">
        <v>165000</v>
      </c>
      <c r="E101" s="5" t="s">
        <v>69</v>
      </c>
      <c r="F101" s="8">
        <v>2</v>
      </c>
    </row>
    <row r="102" spans="1:6">
      <c r="A102" s="5" t="s">
        <v>79</v>
      </c>
      <c r="B102" s="8">
        <v>165327.70000000001</v>
      </c>
      <c r="E102" s="5" t="s">
        <v>93</v>
      </c>
      <c r="F102" s="8">
        <v>2</v>
      </c>
    </row>
    <row r="103" spans="1:6">
      <c r="A103" s="5" t="s">
        <v>106</v>
      </c>
      <c r="B103" s="8">
        <v>167291.66666666666</v>
      </c>
      <c r="E103" s="5" t="s">
        <v>41</v>
      </c>
      <c r="F103" s="8">
        <v>2</v>
      </c>
    </row>
    <row r="104" spans="1:6">
      <c r="A104" s="5" t="s">
        <v>28</v>
      </c>
      <c r="B104" s="8">
        <v>169055.75</v>
      </c>
      <c r="E104" s="5" t="s">
        <v>54</v>
      </c>
      <c r="F104" s="8">
        <v>2</v>
      </c>
    </row>
    <row r="105" spans="1:6">
      <c r="A105" s="5" t="s">
        <v>124</v>
      </c>
      <c r="B105" s="8">
        <v>170000</v>
      </c>
      <c r="E105" s="5" t="s">
        <v>46</v>
      </c>
      <c r="F105" s="8">
        <v>2</v>
      </c>
    </row>
    <row r="106" spans="1:6">
      <c r="A106" s="5" t="s">
        <v>131</v>
      </c>
      <c r="B106" s="8">
        <v>175000</v>
      </c>
      <c r="E106" s="5" t="s">
        <v>92</v>
      </c>
      <c r="F106" s="8">
        <v>2</v>
      </c>
    </row>
    <row r="107" spans="1:6">
      <c r="A107" s="5" t="s">
        <v>100</v>
      </c>
      <c r="B107" s="8">
        <v>178800</v>
      </c>
      <c r="E107" s="5" t="s">
        <v>74</v>
      </c>
      <c r="F107" s="8">
        <v>2</v>
      </c>
    </row>
    <row r="108" spans="1:6">
      <c r="A108" s="5" t="s">
        <v>109</v>
      </c>
      <c r="B108" s="8">
        <v>185945.88888888888</v>
      </c>
      <c r="E108" s="5" t="s">
        <v>81</v>
      </c>
      <c r="F108" s="8">
        <v>2</v>
      </c>
    </row>
    <row r="109" spans="1:6">
      <c r="A109" s="5" t="s">
        <v>32</v>
      </c>
      <c r="B109" s="8">
        <v>190000</v>
      </c>
      <c r="E109" s="5" t="s">
        <v>35</v>
      </c>
      <c r="F109" s="8">
        <v>2</v>
      </c>
    </row>
    <row r="110" spans="1:6">
      <c r="A110" s="5" t="s">
        <v>55</v>
      </c>
      <c r="B110" s="8">
        <v>191000</v>
      </c>
      <c r="E110" s="5" t="s">
        <v>146</v>
      </c>
      <c r="F110" s="8">
        <v>1</v>
      </c>
    </row>
    <row r="111" spans="1:6">
      <c r="A111" s="5" t="s">
        <v>68</v>
      </c>
      <c r="B111" s="8">
        <v>195000</v>
      </c>
      <c r="E111" s="5" t="s">
        <v>135</v>
      </c>
      <c r="F111" s="8">
        <v>1</v>
      </c>
    </row>
    <row r="112" spans="1:6">
      <c r="A112" s="5" t="s">
        <v>94</v>
      </c>
      <c r="B112" s="8">
        <v>200000</v>
      </c>
      <c r="E112" s="5" t="s">
        <v>129</v>
      </c>
      <c r="F112" s="8">
        <v>1</v>
      </c>
    </row>
    <row r="113" spans="1:6">
      <c r="A113" s="5" t="s">
        <v>81</v>
      </c>
      <c r="B113" s="8">
        <v>217500</v>
      </c>
      <c r="E113" s="5" t="s">
        <v>88</v>
      </c>
      <c r="F113" s="8">
        <v>1</v>
      </c>
    </row>
    <row r="114" spans="1:6">
      <c r="A114" s="5" t="s">
        <v>84</v>
      </c>
      <c r="B114" s="8">
        <v>238000</v>
      </c>
      <c r="E114" s="5" t="s">
        <v>124</v>
      </c>
      <c r="F114" s="8">
        <v>1</v>
      </c>
    </row>
    <row r="115" spans="1:6">
      <c r="A115" s="5" t="s">
        <v>76</v>
      </c>
      <c r="B115" s="8">
        <v>255500</v>
      </c>
      <c r="E115" s="5" t="s">
        <v>68</v>
      </c>
      <c r="F115" s="8">
        <v>1</v>
      </c>
    </row>
    <row r="116" spans="1:6">
      <c r="A116" s="5" t="s">
        <v>69</v>
      </c>
      <c r="B116" s="8">
        <v>263000</v>
      </c>
      <c r="E116" s="5" t="s">
        <v>83</v>
      </c>
      <c r="F116" s="8">
        <v>1</v>
      </c>
    </row>
    <row r="117" spans="1:6">
      <c r="A117" s="5" t="s">
        <v>92</v>
      </c>
      <c r="B117" s="8">
        <v>275000</v>
      </c>
      <c r="E117" s="5" t="s">
        <v>22</v>
      </c>
      <c r="F117" s="8">
        <v>1</v>
      </c>
    </row>
    <row r="118" spans="1:6">
      <c r="A118" s="5" t="s">
        <v>54</v>
      </c>
      <c r="B118" s="8">
        <v>287500</v>
      </c>
      <c r="E118" s="5" t="s">
        <v>94</v>
      </c>
      <c r="F118" s="8">
        <v>1</v>
      </c>
    </row>
    <row r="119" spans="1:6">
      <c r="A119" s="5" t="s">
        <v>97</v>
      </c>
      <c r="B119" s="8">
        <v>328333.33333333331</v>
      </c>
      <c r="E119" s="5" t="s">
        <v>32</v>
      </c>
      <c r="F119" s="8">
        <v>1</v>
      </c>
    </row>
    <row r="120" spans="1:6">
      <c r="A120" s="5" t="s">
        <v>146</v>
      </c>
      <c r="B120" s="8">
        <v>405000</v>
      </c>
      <c r="E120" s="5" t="s">
        <v>108</v>
      </c>
      <c r="F120" s="8">
        <v>1</v>
      </c>
    </row>
    <row r="124" spans="1:6">
      <c r="A124" s="4" t="s">
        <v>181</v>
      </c>
      <c r="B124" t="s">
        <v>182</v>
      </c>
      <c r="C124" t="s">
        <v>202</v>
      </c>
      <c r="D124" t="s">
        <v>203</v>
      </c>
    </row>
    <row r="125" spans="1:6">
      <c r="A125" s="5" t="s">
        <v>171</v>
      </c>
      <c r="B125" s="8">
        <v>23610113</v>
      </c>
      <c r="C125" s="8">
        <v>198</v>
      </c>
      <c r="D125" s="8">
        <v>119242.99494949495</v>
      </c>
    </row>
    <row r="126" spans="1:6">
      <c r="A126" s="5" t="s">
        <v>170</v>
      </c>
      <c r="B126" s="8">
        <v>38111182</v>
      </c>
      <c r="C126" s="8">
        <v>326</v>
      </c>
      <c r="D126" s="8">
        <v>116905.46625766871</v>
      </c>
    </row>
    <row r="127" spans="1:6">
      <c r="A127" s="5" t="s">
        <v>169</v>
      </c>
      <c r="B127" s="8">
        <v>6443512</v>
      </c>
      <c r="C127" s="8">
        <v>83</v>
      </c>
      <c r="D127" s="8">
        <v>77632.674698795177</v>
      </c>
    </row>
    <row r="132" spans="1:6">
      <c r="A132" s="4" t="s">
        <v>181</v>
      </c>
      <c r="B132" t="s">
        <v>183</v>
      </c>
    </row>
    <row r="133" spans="1:6">
      <c r="A133" s="5">
        <v>0</v>
      </c>
      <c r="B133" s="8">
        <v>137825.81159420291</v>
      </c>
    </row>
    <row r="134" spans="1:6">
      <c r="A134" s="5">
        <v>50</v>
      </c>
      <c r="B134" s="8">
        <v>131379.45000000001</v>
      </c>
    </row>
    <row r="135" spans="1:6">
      <c r="A135" s="5">
        <v>100</v>
      </c>
      <c r="B135" s="8">
        <v>146624.24060150376</v>
      </c>
    </row>
    <row r="138" spans="1:6">
      <c r="A138" s="4" t="s">
        <v>181</v>
      </c>
      <c r="B138" t="s">
        <v>183</v>
      </c>
      <c r="E138" t="s">
        <v>216</v>
      </c>
      <c r="F138" t="s">
        <v>217</v>
      </c>
    </row>
    <row r="139" spans="1:6">
      <c r="A139" s="5">
        <v>0</v>
      </c>
      <c r="B139" s="8">
        <v>137825.81159420291</v>
      </c>
      <c r="E139" s="5" t="s">
        <v>214</v>
      </c>
      <c r="F139" s="8">
        <v>137825.81159420291</v>
      </c>
    </row>
    <row r="140" spans="1:6">
      <c r="A140" s="5">
        <v>50</v>
      </c>
      <c r="B140" s="8">
        <v>131379.45000000001</v>
      </c>
      <c r="E140" s="5" t="s">
        <v>213</v>
      </c>
      <c r="F140" s="8">
        <v>131379.45000000001</v>
      </c>
    </row>
    <row r="141" spans="1:6">
      <c r="A141" s="5">
        <v>100</v>
      </c>
      <c r="B141" s="8">
        <v>146624.24060150376</v>
      </c>
      <c r="E141" s="5" t="s">
        <v>215</v>
      </c>
      <c r="F141" s="8">
        <v>146624.24060150376</v>
      </c>
    </row>
  </sheetData>
  <conditionalFormatting pivot="1" sqref="B25:E2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3:D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17:D1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42:D4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49:D5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57:E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2"/>
  <tableParts count="2">
    <tablePart r:id="rId13"/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showGridLines="0" tabSelected="1" topLeftCell="A30" zoomScale="70" zoomScaleNormal="70" zoomScalePageLayoutView="55" workbookViewId="0">
      <selection activeCell="B51" sqref="B51:F54"/>
    </sheetView>
  </sheetViews>
  <sheetFormatPr defaultRowHeight="15"/>
  <cols>
    <col min="1" max="1" width="9.140625" style="10"/>
    <col min="2" max="4" width="23.85546875" style="10" customWidth="1"/>
    <col min="5" max="5" width="25.140625" style="10" customWidth="1"/>
    <col min="6" max="6" width="9.140625" style="10"/>
    <col min="7" max="7" width="17.85546875" style="10" bestFit="1" customWidth="1"/>
    <col min="8" max="8" width="17.140625" style="10" bestFit="1" customWidth="1"/>
    <col min="9" max="9" width="18.85546875" style="10" bestFit="1" customWidth="1"/>
    <col min="10" max="10" width="16.42578125" style="10" bestFit="1" customWidth="1"/>
    <col min="11" max="16384" width="9.140625" style="10"/>
  </cols>
  <sheetData>
    <row r="1" spans="1:11" ht="73.5" customHeight="1">
      <c r="A1" s="30" t="s">
        <v>207</v>
      </c>
      <c r="B1" s="30"/>
      <c r="C1" s="30"/>
      <c r="D1" s="30"/>
      <c r="E1" s="30"/>
      <c r="F1" s="30"/>
      <c r="G1" s="30"/>
      <c r="H1" s="30"/>
      <c r="I1" s="30"/>
      <c r="J1" s="16"/>
      <c r="K1" s="16"/>
    </row>
    <row r="4" spans="1:11" ht="18">
      <c r="B4" s="29" t="s">
        <v>192</v>
      </c>
      <c r="C4" s="29"/>
      <c r="D4" s="29"/>
      <c r="F4" s="11"/>
    </row>
    <row r="5" spans="1:11" ht="18">
      <c r="B5" s="13" t="s">
        <v>193</v>
      </c>
      <c r="C5" s="13" t="s">
        <v>194</v>
      </c>
      <c r="D5" s="13" t="s">
        <v>195</v>
      </c>
      <c r="F5" s="11"/>
    </row>
    <row r="6" spans="1:11" ht="18">
      <c r="B6" s="14">
        <f t="array" ref="B6">AVERAGE(SalaryInfo[salary_in_usd])</f>
        <v>112297.86985172982</v>
      </c>
      <c r="C6" s="14">
        <f t="array" ref="C6">MIN(SalaryInfo[salary_in_usd])</f>
        <v>2859</v>
      </c>
      <c r="D6" s="14">
        <f t="array" ref="D6">MAX(SalaryInfo[salary_in_usd])</f>
        <v>600000</v>
      </c>
    </row>
    <row r="7" spans="1:11" ht="18">
      <c r="B7" s="15"/>
      <c r="C7" s="15"/>
      <c r="D7" s="15"/>
    </row>
    <row r="8" spans="1:11" ht="18">
      <c r="B8" s="15"/>
      <c r="C8" s="15"/>
      <c r="D8" s="15"/>
    </row>
    <row r="9" spans="1:11" ht="18">
      <c r="B9" s="29" t="s">
        <v>196</v>
      </c>
      <c r="C9" s="29"/>
      <c r="D9" s="29"/>
    </row>
    <row r="10" spans="1:11" ht="18">
      <c r="B10" s="13" t="s">
        <v>193</v>
      </c>
      <c r="C10" s="13" t="s">
        <v>194</v>
      </c>
      <c r="D10" s="13" t="s">
        <v>195</v>
      </c>
    </row>
    <row r="11" spans="1:11" ht="18">
      <c r="B11" s="14">
        <f t="array" ref="B11">AVERAGE(SalaryInfoUS[salary_in_usd])</f>
        <v>144055.26197183097</v>
      </c>
      <c r="C11" s="14">
        <f t="array" ref="C11">MIN(SalaryInfoUS[salary_in_usd])</f>
        <v>5679</v>
      </c>
      <c r="D11" s="14">
        <f t="array" ref="D11">MAX(SalaryInfoUS[salary_in_usd])</f>
        <v>600000</v>
      </c>
    </row>
    <row r="17" spans="1:9" ht="20.25">
      <c r="A17" s="27" t="s">
        <v>208</v>
      </c>
      <c r="B17" s="27"/>
      <c r="C17" s="27"/>
      <c r="D17" s="27"/>
      <c r="E17" s="27"/>
      <c r="F17" s="27"/>
      <c r="G17" s="27"/>
      <c r="H17" s="27"/>
      <c r="I17" s="27"/>
    </row>
    <row r="18" spans="1:9" ht="15.75">
      <c r="C18" s="18"/>
      <c r="G18" s="18"/>
    </row>
    <row r="34" spans="1:9" ht="21.75" customHeight="1">
      <c r="A34" s="28" t="s">
        <v>210</v>
      </c>
      <c r="B34" s="28"/>
      <c r="C34" s="28"/>
      <c r="D34" s="28"/>
      <c r="E34" s="28"/>
      <c r="F34" s="28"/>
      <c r="G34" s="28"/>
      <c r="H34" s="28"/>
      <c r="I34" s="28"/>
    </row>
    <row r="37" spans="1:9" ht="15.75">
      <c r="B37" s="21" t="s">
        <v>204</v>
      </c>
      <c r="C37" s="21" t="s">
        <v>205</v>
      </c>
      <c r="D37" s="21" t="s">
        <v>206</v>
      </c>
    </row>
    <row r="38" spans="1:9" ht="15.75">
      <c r="B38" s="22" t="s">
        <v>171</v>
      </c>
      <c r="C38" s="23">
        <v>23610113</v>
      </c>
      <c r="D38" s="23">
        <v>119242.99494949495</v>
      </c>
    </row>
    <row r="39" spans="1:9" ht="15.75">
      <c r="B39" s="22" t="s">
        <v>170</v>
      </c>
      <c r="C39" s="23">
        <v>38111182</v>
      </c>
      <c r="D39" s="23">
        <v>116905.46625766871</v>
      </c>
    </row>
    <row r="40" spans="1:9" ht="15.75">
      <c r="B40" s="22" t="s">
        <v>169</v>
      </c>
      <c r="C40" s="23">
        <v>6443512</v>
      </c>
      <c r="D40" s="23">
        <v>77632.674698795177</v>
      </c>
    </row>
    <row r="41" spans="1:9">
      <c r="B41" s="25" t="s">
        <v>209</v>
      </c>
      <c r="C41" s="25"/>
      <c r="D41" s="25"/>
    </row>
    <row r="42" spans="1:9">
      <c r="B42" s="25"/>
      <c r="C42" s="25"/>
      <c r="D42" s="25"/>
    </row>
    <row r="43" spans="1:9">
      <c r="B43" s="25"/>
      <c r="C43" s="25"/>
      <c r="D43" s="25"/>
    </row>
    <row r="44" spans="1:9" ht="17.25" customHeight="1">
      <c r="B44" s="25"/>
      <c r="C44" s="25"/>
      <c r="D44" s="25"/>
    </row>
    <row r="45" spans="1:9" ht="15" customHeight="1">
      <c r="B45" s="25" t="s">
        <v>219</v>
      </c>
      <c r="C45" s="25"/>
      <c r="D45" s="25"/>
    </row>
    <row r="46" spans="1:9" ht="15" customHeight="1">
      <c r="B46" s="25"/>
      <c r="C46" s="25"/>
      <c r="D46" s="25"/>
    </row>
    <row r="47" spans="1:9" ht="15" customHeight="1">
      <c r="B47" s="25"/>
      <c r="C47" s="25"/>
      <c r="D47" s="25"/>
    </row>
    <row r="48" spans="1:9">
      <c r="B48" s="25"/>
      <c r="C48" s="25"/>
      <c r="D48" s="25"/>
      <c r="E48" s="17"/>
    </row>
    <row r="49" spans="1:13" ht="15" customHeight="1"/>
    <row r="50" spans="1:13" ht="15" customHeight="1"/>
    <row r="51" spans="1:13" ht="15" customHeight="1">
      <c r="A51" s="12"/>
      <c r="B51" s="26" t="s">
        <v>220</v>
      </c>
      <c r="C51" s="26"/>
      <c r="D51" s="26"/>
      <c r="E51" s="26"/>
      <c r="F51" s="26"/>
    </row>
    <row r="52" spans="1:13" ht="15" customHeight="1">
      <c r="A52" s="12"/>
      <c r="B52" s="26"/>
      <c r="C52" s="26"/>
      <c r="D52" s="26"/>
      <c r="E52" s="26"/>
      <c r="F52" s="26"/>
    </row>
    <row r="53" spans="1:13">
      <c r="A53" s="12"/>
      <c r="B53" s="26"/>
      <c r="C53" s="26"/>
      <c r="D53" s="26"/>
      <c r="E53" s="26"/>
      <c r="F53" s="26"/>
    </row>
    <row r="54" spans="1:13">
      <c r="A54" s="12"/>
      <c r="B54" s="26"/>
      <c r="C54" s="26"/>
      <c r="D54" s="26"/>
      <c r="E54" s="26"/>
      <c r="F54" s="26"/>
    </row>
    <row r="58" spans="1:13" ht="15" customHeight="1">
      <c r="J58" s="20"/>
      <c r="K58" s="20"/>
      <c r="L58" s="20"/>
      <c r="M58" s="20"/>
    </row>
    <row r="59" spans="1:13" ht="15" customHeight="1">
      <c r="J59" s="20"/>
      <c r="K59" s="20"/>
      <c r="L59" s="20"/>
      <c r="M59" s="20"/>
    </row>
    <row r="60" spans="1:13" ht="15" customHeight="1">
      <c r="J60" s="20"/>
      <c r="K60" s="20"/>
      <c r="L60" s="20"/>
      <c r="M60" s="20"/>
    </row>
    <row r="61" spans="1:13" ht="15" customHeight="1">
      <c r="J61" s="20"/>
      <c r="K61" s="20"/>
      <c r="L61" s="20"/>
      <c r="M61" s="20"/>
    </row>
    <row r="62" spans="1:13" ht="15" customHeight="1">
      <c r="J62" s="20"/>
      <c r="K62" s="20"/>
      <c r="L62" s="20"/>
      <c r="M62" s="20"/>
    </row>
    <row r="63" spans="1:13" ht="15" customHeight="1">
      <c r="J63" s="20"/>
      <c r="K63" s="20"/>
      <c r="L63" s="20"/>
      <c r="M63" s="20"/>
    </row>
    <row r="64" spans="1:13" ht="15" customHeight="1">
      <c r="J64" s="20"/>
      <c r="K64" s="20"/>
      <c r="L64" s="20"/>
      <c r="M64" s="20"/>
    </row>
    <row r="65" spans="1:13" ht="15" customHeight="1">
      <c r="A65" s="12"/>
      <c r="B65" s="12"/>
      <c r="C65" s="12"/>
      <c r="D65" s="12"/>
      <c r="E65" s="24" t="s">
        <v>218</v>
      </c>
      <c r="F65" s="24"/>
      <c r="G65" s="24"/>
      <c r="H65" s="24"/>
      <c r="I65" s="24"/>
      <c r="J65" s="20"/>
      <c r="K65" s="20"/>
      <c r="L65" s="20"/>
      <c r="M65" s="20"/>
    </row>
    <row r="66" spans="1:13" ht="15" customHeight="1">
      <c r="A66" s="12"/>
      <c r="B66" s="12"/>
      <c r="C66" s="12"/>
      <c r="D66" s="12"/>
      <c r="E66" s="24"/>
      <c r="F66" s="24"/>
      <c r="G66" s="24"/>
      <c r="H66" s="24"/>
      <c r="I66" s="24"/>
      <c r="J66" s="20"/>
      <c r="K66" s="20"/>
      <c r="L66" s="20"/>
      <c r="M66" s="20"/>
    </row>
    <row r="67" spans="1:13" ht="15" customHeight="1">
      <c r="A67" s="12"/>
      <c r="B67" s="12"/>
      <c r="C67" s="12"/>
      <c r="D67" s="12"/>
      <c r="E67" s="24"/>
      <c r="F67" s="24"/>
      <c r="G67" s="24"/>
      <c r="H67" s="24"/>
      <c r="I67" s="24"/>
      <c r="J67" s="20"/>
      <c r="K67" s="20"/>
      <c r="L67" s="20"/>
      <c r="M67" s="20"/>
    </row>
    <row r="68" spans="1:13" ht="15" customHeight="1">
      <c r="A68" s="12"/>
      <c r="B68" s="12"/>
      <c r="C68" s="12"/>
      <c r="D68" s="12"/>
      <c r="E68" s="24"/>
      <c r="F68" s="24"/>
      <c r="G68" s="24"/>
      <c r="H68" s="24"/>
      <c r="I68" s="24"/>
    </row>
    <row r="69" spans="1:13" ht="15" customHeight="1">
      <c r="A69" s="12"/>
      <c r="B69" s="12"/>
      <c r="C69" s="12"/>
      <c r="D69" s="12"/>
      <c r="E69" s="24"/>
      <c r="F69" s="24"/>
      <c r="G69" s="24"/>
      <c r="H69" s="24"/>
      <c r="I69" s="24"/>
    </row>
    <row r="70" spans="1:13" ht="15" customHeight="1">
      <c r="A70" s="12"/>
      <c r="B70" s="12"/>
      <c r="C70" s="12"/>
      <c r="D70" s="12"/>
      <c r="E70" s="24"/>
      <c r="F70" s="24"/>
      <c r="G70" s="24"/>
      <c r="H70" s="24"/>
      <c r="I70" s="24"/>
    </row>
    <row r="71" spans="1:13" ht="20.25">
      <c r="E71" s="20"/>
      <c r="F71" s="20"/>
      <c r="G71" s="20"/>
      <c r="H71" s="20"/>
    </row>
    <row r="72" spans="1:13" ht="20.25">
      <c r="B72" s="19" t="s">
        <v>211</v>
      </c>
      <c r="E72" s="20"/>
      <c r="F72" s="20"/>
      <c r="G72" s="20"/>
      <c r="H72" s="20"/>
    </row>
    <row r="73" spans="1:13" ht="20.25">
      <c r="B73" s="19" t="s">
        <v>212</v>
      </c>
      <c r="E73" s="20"/>
      <c r="F73" s="20"/>
      <c r="G73" s="20"/>
      <c r="H73" s="20"/>
    </row>
    <row r="74" spans="1:13" ht="20.25">
      <c r="E74" s="20"/>
      <c r="F74" s="20"/>
      <c r="G74" s="20"/>
      <c r="H74" s="20"/>
    </row>
  </sheetData>
  <mergeCells count="9">
    <mergeCell ref="B4:D4"/>
    <mergeCell ref="B9:D9"/>
    <mergeCell ref="A1:I1"/>
    <mergeCell ref="B45:D48"/>
    <mergeCell ref="E65:I70"/>
    <mergeCell ref="B41:D44"/>
    <mergeCell ref="B51:F54"/>
    <mergeCell ref="A17:I17"/>
    <mergeCell ref="A34:I34"/>
  </mergeCells>
  <printOptions horizontalCentered="1"/>
  <pageMargins left="0.25" right="0.25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ds_salaries OG</vt:lpstr>
      <vt:lpstr>Glossary</vt:lpstr>
      <vt:lpstr>ds_salaries</vt:lpstr>
      <vt:lpstr>Only US</vt:lpstr>
      <vt:lpstr>Pivot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</dc:creator>
  <cp:lastModifiedBy>Marshall</cp:lastModifiedBy>
  <cp:lastPrinted>2022-09-15T14:28:19Z</cp:lastPrinted>
  <dcterms:created xsi:type="dcterms:W3CDTF">2022-09-14T13:30:50Z</dcterms:created>
  <dcterms:modified xsi:type="dcterms:W3CDTF">2022-09-15T14:33:53Z</dcterms:modified>
</cp:coreProperties>
</file>